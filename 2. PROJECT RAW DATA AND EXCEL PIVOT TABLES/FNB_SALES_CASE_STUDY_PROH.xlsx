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pivotTable+xml" PartName="/xl/pivotTables/pivotTable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FNB Sales Dataset" sheetId="2" r:id="rId6"/>
    <sheet state="visible" name="Product Performance By Time" sheetId="3" r:id="rId7"/>
    <sheet state="visible" name="Promotion Period Product Perfor" sheetId="4" r:id="rId8"/>
    <sheet state="visible" name="Average Price" sheetId="5" r:id="rId9"/>
  </sheets>
  <definedNames>
    <definedName hidden="1" localSheetId="1" name="Z_E050BEEC_2F75_414E_8F8D_68591F631E55_.wvu.FilterData">'FNB Sales Dataset'!$A$1:$AB$1054</definedName>
    <definedName name="SlicerCache_Table_1_Col_2">#N/A</definedName>
    <definedName name="SlicerCache_Table_1_Col_16">#N/A</definedName>
    <definedName name="SlicerCache_Table_1_Col_20">#N/A</definedName>
  </definedNames>
  <calcPr/>
  <customWorkbookViews>
    <customWorkbookView activeSheetId="0" maximized="1" windowHeight="0" windowWidth="0" guid="{E050BEEC-2F75-414E-8F8D-68591F631E55}" name="Filter 1"/>
  </customWorkbookViews>
  <pivotCaches>
    <pivotCache cacheId="0" r:id="rId10"/>
    <pivotCache cacheId="1" r:id="rId11"/>
  </pivotCaches>
  <extLst>
    <ext uri="{46BE6895-7355-4a93-B00E-2C351335B9C9}">
      <x15:slicerCaches>
        <x14:slicerCache r:id="rId12"/>
        <x14:slicerCache r:id="rId13"/>
        <x14:slicerCache r:id="rId14"/>
      </x15:slicerCaches>
    </ext>
  </extLst>
</workbook>
</file>

<file path=xl/sharedStrings.xml><?xml version="1.0" encoding="utf-8"?>
<sst xmlns="http://schemas.openxmlformats.org/spreadsheetml/2006/main" count="7533" uniqueCount="98">
  <si>
    <t>Date</t>
  </si>
  <si>
    <t>Transaction Year</t>
  </si>
  <si>
    <t>Transaction Month</t>
  </si>
  <si>
    <t>Transaction Day</t>
  </si>
  <si>
    <t>Transaction Dayname</t>
  </si>
  <si>
    <t>Quantity Sold</t>
  </si>
  <si>
    <t>Sales</t>
  </si>
  <si>
    <t>Unit Price</t>
  </si>
  <si>
    <t>Unit Cost Of Sales</t>
  </si>
  <si>
    <t>Cost Of Sales</t>
  </si>
  <si>
    <t>Daily Gross Profit</t>
  </si>
  <si>
    <t>Daily % Gross Profit</t>
  </si>
  <si>
    <t>Daily Gross Profit Per Unit</t>
  </si>
  <si>
    <t>Daily % Gross Profit Per Unit</t>
  </si>
  <si>
    <t>Promotion Status</t>
  </si>
  <si>
    <t>Promotion Period</t>
  </si>
  <si>
    <t>Price Elasticity of Demand</t>
  </si>
  <si>
    <t>Previous Gross Profit</t>
  </si>
  <si>
    <t>Gross Profit Change</t>
  </si>
  <si>
    <t>Gross Profit Indicator</t>
  </si>
  <si>
    <t>December</t>
  </si>
  <si>
    <t>30</t>
  </si>
  <si>
    <t>Mon</t>
  </si>
  <si>
    <t>Promotion</t>
  </si>
  <si>
    <t>Promotion period 1</t>
  </si>
  <si>
    <t>null</t>
  </si>
  <si>
    <t>No Change</t>
  </si>
  <si>
    <t>31</t>
  </si>
  <si>
    <t>Tue</t>
  </si>
  <si>
    <t>Decline</t>
  </si>
  <si>
    <t>January</t>
  </si>
  <si>
    <t>01</t>
  </si>
  <si>
    <t>Wed</t>
  </si>
  <si>
    <t>Growth</t>
  </si>
  <si>
    <t>02</t>
  </si>
  <si>
    <t>Thu</t>
  </si>
  <si>
    <t>03</t>
  </si>
  <si>
    <t>Fri</t>
  </si>
  <si>
    <t>04</t>
  </si>
  <si>
    <t>Sat</t>
  </si>
  <si>
    <t>05</t>
  </si>
  <si>
    <t>Sun</t>
  </si>
  <si>
    <t>06</t>
  </si>
  <si>
    <t>07</t>
  </si>
  <si>
    <t>08</t>
  </si>
  <si>
    <t>Non-promotion</t>
  </si>
  <si>
    <t>Non Promotion</t>
  </si>
  <si>
    <t>09</t>
  </si>
  <si>
    <t>10</t>
  </si>
  <si>
    <t>11</t>
  </si>
  <si>
    <t>12</t>
  </si>
  <si>
    <t>13</t>
  </si>
  <si>
    <t>14</t>
  </si>
  <si>
    <t>15</t>
  </si>
  <si>
    <t>16</t>
  </si>
  <si>
    <t>17</t>
  </si>
  <si>
    <t>18</t>
  </si>
  <si>
    <t>19</t>
  </si>
  <si>
    <t>20</t>
  </si>
  <si>
    <t>21</t>
  </si>
  <si>
    <t>22</t>
  </si>
  <si>
    <t>23</t>
  </si>
  <si>
    <t>24</t>
  </si>
  <si>
    <t>25</t>
  </si>
  <si>
    <t>26</t>
  </si>
  <si>
    <t>27</t>
  </si>
  <si>
    <t>28</t>
  </si>
  <si>
    <t>29</t>
  </si>
  <si>
    <t>February</t>
  </si>
  <si>
    <t>Promotion period 2</t>
  </si>
  <si>
    <t>Promotion period 3</t>
  </si>
  <si>
    <t>March</t>
  </si>
  <si>
    <t>April</t>
  </si>
  <si>
    <t>Promotion period 4</t>
  </si>
  <si>
    <t>May</t>
  </si>
  <si>
    <t>June</t>
  </si>
  <si>
    <t>July</t>
  </si>
  <si>
    <t>August</t>
  </si>
  <si>
    <t>September</t>
  </si>
  <si>
    <t>October</t>
  </si>
  <si>
    <t>November</t>
  </si>
  <si>
    <t>AVERAGE of Daily Gross Profit</t>
  </si>
  <si>
    <t>AVERAGE of Cost Of Sales</t>
  </si>
  <si>
    <t>AVERAGE of Sales</t>
  </si>
  <si>
    <t>Grand Total</t>
  </si>
  <si>
    <t>SUM of Quantity Sold</t>
  </si>
  <si>
    <t>SUM of Sales</t>
  </si>
  <si>
    <t>SUM of Cost Of Sales</t>
  </si>
  <si>
    <t>SUM of Price Elasticity of Demand</t>
  </si>
  <si>
    <t>SUM of Daily % Gross Profit</t>
  </si>
  <si>
    <t>AVERAGE of Unit Price</t>
  </si>
  <si>
    <t>Date - Year</t>
  </si>
  <si>
    <t>2013</t>
  </si>
  <si>
    <t>2014</t>
  </si>
  <si>
    <t>2015</t>
  </si>
  <si>
    <t>2016</t>
  </si>
  <si>
    <t>FNB SALES DATA ANALYSIS</t>
  </si>
  <si>
    <t>Quantity Sold By Unit Price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</si>
</sst>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H:MM:SS"/>
    <numFmt numFmtId="165" formatCode="m/d/yyyy h:mm:ss"/>
  </numFmts>
  <fonts count="7">
    <font>
      <sz val="10.0"/>
      <color rgb="FF000000"/>
      <name val="Verdana"/>
      <scheme val="minor"/>
    </font>
    <font>
      <b/>
      <sz val="12.0"/>
      <color theme="1"/>
      <name val="Calibri"/>
    </font>
    <font>
      <sz val="12.0"/>
      <color theme="1"/>
      <name val="Calibri"/>
    </font>
    <font>
      <color theme="1"/>
      <name val="Verdana"/>
      <scheme val="minor"/>
    </font>
    <font>
      <b/>
      <color theme="1"/>
      <name val="Verdana"/>
      <scheme val="minor"/>
    </font>
    <font>
      <b/>
      <sz val="30.0"/>
      <color rgb="FFFF9900"/>
      <name val="Verdana"/>
      <scheme val="minor"/>
    </font>
    <font>
      <b/>
      <sz val="30.0"/>
      <color rgb="FFFFFFFF"/>
      <name val="Verdana"/>
      <scheme val="minor"/>
    </font>
  </fonts>
  <fills count="4">
    <fill>
      <patternFill patternType="none"/>
    </fill>
    <fill>
      <patternFill patternType="lightGray"/>
    </fill>
    <fill>
      <patternFill patternType="solid">
        <fgColor rgb="FF434343"/>
        <bgColor rgb="FF434343"/>
      </patternFill>
    </fill>
    <fill>
      <patternFill patternType="solid">
        <fgColor theme="4"/>
        <bgColor theme="4"/>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readingOrder="0" vertical="bottom"/>
    </xf>
    <xf borderId="0" fillId="0" fontId="1" numFmtId="2" xfId="0" applyAlignment="1" applyFont="1" applyNumberFormat="1">
      <alignment readingOrder="0" vertical="bottom"/>
    </xf>
    <xf borderId="0" fillId="0" fontId="1" numFmtId="0" xfId="0" applyAlignment="1" applyFont="1">
      <alignment vertical="bottom"/>
    </xf>
    <xf borderId="0" fillId="0" fontId="2" numFmtId="164" xfId="0" applyAlignment="1" applyFont="1" applyNumberFormat="1">
      <alignment horizontal="right" vertical="bottom"/>
    </xf>
    <xf borderId="0" fillId="0" fontId="2" numFmtId="0" xfId="0" applyAlignment="1" applyFont="1">
      <alignment horizontal="right" vertical="bottom"/>
    </xf>
    <xf borderId="0" fillId="0" fontId="2" numFmtId="0" xfId="0" applyAlignment="1" applyFont="1">
      <alignment vertical="bottom"/>
    </xf>
    <xf borderId="0" fillId="0" fontId="2" numFmtId="2" xfId="0" applyAlignment="1" applyFont="1" applyNumberFormat="1">
      <alignment horizontal="right" vertical="bottom"/>
    </xf>
    <xf borderId="0" fillId="0" fontId="2" numFmtId="0" xfId="0" applyAlignment="1" applyFont="1">
      <alignment vertical="bottom"/>
    </xf>
    <xf borderId="0" fillId="0" fontId="2" numFmtId="0" xfId="0" applyAlignment="1" applyFont="1">
      <alignment horizontal="right" vertical="bottom"/>
    </xf>
    <xf borderId="0" fillId="0" fontId="3" numFmtId="0" xfId="0" applyFont="1"/>
    <xf borderId="0" fillId="0" fontId="3" numFmtId="165" xfId="0" applyFont="1" applyNumberFormat="1"/>
    <xf borderId="0" fillId="0" fontId="4" numFmtId="0" xfId="0" applyFont="1"/>
    <xf borderId="0" fillId="2" fontId="5" numFmtId="0" xfId="0" applyAlignment="1" applyFill="1" applyFont="1">
      <alignment horizontal="center" readingOrder="0"/>
    </xf>
    <xf borderId="0" fillId="3" fontId="6" numFmtId="0" xfId="0" applyAlignment="1" applyFill="1" applyFont="1">
      <alignment horizontal="center" readingOrder="0"/>
    </xf>
    <xf borderId="0" fillId="2" fontId="3" numFmtId="0" xfId="0" applyFill="1" applyFont="1"/>
    <xf borderId="0" fillId="2" fontId="3" numFmtId="0" xfId="0" applyAlignment="1" applyFill="1" applyFont="1">
      <alignment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pivotCacheDefinition" Target="pivotCache/pivotCacheDefinition2.xml"/><Relationship Id="rId10" Type="http://schemas.openxmlformats.org/officeDocument/2006/relationships/pivotCacheDefinition" Target="pivotCache/pivotCacheDefinition1.xml"/><Relationship Id="rId13" Type="http://schemas.microsoft.com/office/2007/relationships/slicerCache" Target="slicerCaches/slicerCache2.xml"/><Relationship Id="rId12" Type="http://schemas.microsoft.com/office/2007/relationships/slicerCache" Target="slicerCaches/slicerCache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microsoft.com/office/2007/relationships/slicerCache" Target="slicerCaches/slicerCache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tx>
            <c:strRef>
              <c:f>'FNB Sales Dataset'!$F$1</c:f>
            </c:strRef>
          </c:tx>
          <c:spPr>
            <a:ln>
              <a:noFill/>
            </a:ln>
          </c:spPr>
          <c:marker>
            <c:symbol val="circle"/>
            <c:size val="7"/>
            <c:spPr>
              <a:solidFill>
                <a:schemeClr val="accent1"/>
              </a:solidFill>
              <a:ln cmpd="sng">
                <a:solidFill>
                  <a:schemeClr val="accent1"/>
                </a:solidFill>
              </a:ln>
            </c:spPr>
          </c:marker>
          <c:trendline>
            <c:name>Trendline for Quantity Sold</c:name>
            <c:spPr>
              <a:ln w="19050">
                <a:solidFill>
                  <a:srgbClr val="FF9900"/>
                </a:solidFill>
              </a:ln>
            </c:spPr>
            <c:trendlineType val="linear"/>
            <c:dispRSqr val="0"/>
            <c:dispEq val="0"/>
          </c:trendline>
          <c:xVal>
            <c:numRef>
              <c:f>'FNB Sales Dataset'!$H$2:$H$1054</c:f>
            </c:numRef>
          </c:xVal>
          <c:yVal>
            <c:numRef>
              <c:f>'FNB Sales Dataset'!$F$2:$F$1054</c:f>
              <c:numCache/>
            </c:numRef>
          </c:yVal>
        </c:ser>
        <c:dLbls>
          <c:showLegendKey val="0"/>
          <c:showVal val="0"/>
          <c:showCatName val="0"/>
          <c:showSerName val="0"/>
          <c:showPercent val="0"/>
          <c:showBubbleSize val="0"/>
        </c:dLbls>
        <c:axId val="2012991357"/>
        <c:axId val="2107599107"/>
      </c:scatterChart>
      <c:valAx>
        <c:axId val="201299135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chemeClr val="dk1"/>
                    </a:solidFill>
                    <a:latin typeface="+mn-lt"/>
                  </a:defRPr>
                </a:pPr>
                <a:r>
                  <a:rPr b="1">
                    <a:solidFill>
                      <a:schemeClr val="dk1"/>
                    </a:solidFill>
                    <a:latin typeface="+mn-lt"/>
                  </a:rPr>
                  <a:t>Unit Price</a:t>
                </a:r>
              </a:p>
            </c:rich>
          </c:tx>
          <c:overlay val="0"/>
        </c:title>
        <c:numFmt formatCode="General" sourceLinked="1"/>
        <c:majorTickMark val="none"/>
        <c:minorTickMark val="none"/>
        <c:tickLblPos val="nextTo"/>
        <c:spPr>
          <a:ln>
            <a:noFill/>
          </a:ln>
        </c:spPr>
        <c:txPr>
          <a:bodyPr/>
          <a:lstStyle/>
          <a:p>
            <a:pPr lvl="0">
              <a:defRPr b="0">
                <a:solidFill>
                  <a:srgbClr val="1A1A1A"/>
                </a:solidFill>
                <a:latin typeface="+mn-lt"/>
              </a:defRPr>
            </a:pPr>
          </a:p>
        </c:txPr>
        <c:crossAx val="2107599107"/>
      </c:valAx>
      <c:valAx>
        <c:axId val="210759910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000000"/>
                    </a:solidFill>
                    <a:latin typeface="+mn-lt"/>
                  </a:defRPr>
                </a:pPr>
                <a:r>
                  <a:rPr b="1">
                    <a:solidFill>
                      <a:srgbClr val="000000"/>
                    </a:solidFill>
                    <a:latin typeface="+mn-lt"/>
                  </a:rPr>
                  <a:t>Quantity Sold</a:t>
                </a:r>
              </a:p>
            </c:rich>
          </c:tx>
          <c:overlay val="0"/>
        </c:title>
        <c:numFmt formatCode="General" sourceLinked="1"/>
        <c:majorTickMark val="none"/>
        <c:minorTickMark val="none"/>
        <c:tickLblPos val="nextTo"/>
        <c:spPr>
          <a:ln>
            <a:noFill/>
          </a:ln>
        </c:spPr>
        <c:txPr>
          <a:bodyPr/>
          <a:lstStyle/>
          <a:p>
            <a:pPr lvl="0">
              <a:defRPr b="0">
                <a:solidFill>
                  <a:srgbClr val="1A1A1A"/>
                </a:solidFill>
                <a:latin typeface="+mn-lt"/>
              </a:defRPr>
            </a:pPr>
          </a:p>
        </c:txPr>
        <c:crossAx val="2012991357"/>
      </c:valAx>
    </c:plotArea>
    <c:legend>
      <c:legendPos val="r"/>
      <c:overlay val="0"/>
      <c:txPr>
        <a:bodyPr/>
        <a:lstStyle/>
        <a:p>
          <a:pPr lvl="0">
            <a:defRPr b="0">
              <a:solidFill>
                <a:srgbClr val="313131"/>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 Gross Profit By Transaction Day</a:t>
            </a:r>
          </a:p>
        </c:rich>
      </c:tx>
      <c:overlay val="0"/>
    </c:title>
    <c:plotArea>
      <c:layout/>
      <c:areaChart>
        <c:grouping val="stacked"/>
        <c:ser>
          <c:idx val="0"/>
          <c:order val="0"/>
          <c:tx>
            <c:strRef>
              <c:f>'Product Performance By Time'!$B$2</c:f>
            </c:strRef>
          </c:tx>
          <c:spPr>
            <a:solidFill>
              <a:srgbClr val="1A9988">
                <a:alpha val="30000"/>
              </a:srgbClr>
            </a:solidFill>
            <a:ln cmpd="sng">
              <a:solidFill>
                <a:srgbClr val="1A9988"/>
              </a:solidFill>
            </a:ln>
          </c:spPr>
          <c:cat>
            <c:strRef>
              <c:f>'Product Performance By Time'!$A$3:$A$33</c:f>
            </c:strRef>
          </c:cat>
          <c:val>
            <c:numRef>
              <c:f>'Product Performance By Time'!$B$3:$B$33</c:f>
              <c:numCache/>
            </c:numRef>
          </c:val>
        </c:ser>
        <c:axId val="295423698"/>
        <c:axId val="1929822826"/>
      </c:areaChart>
      <c:catAx>
        <c:axId val="295423698"/>
        <c:scaling>
          <c:orientation val="minMax"/>
        </c:scaling>
        <c:delete val="0"/>
        <c:axPos val="b"/>
        <c:title>
          <c:tx>
            <c:rich>
              <a:bodyPr/>
              <a:lstStyle/>
              <a:p>
                <a:pPr lvl="0">
                  <a:defRPr b="0">
                    <a:solidFill>
                      <a:srgbClr val="1A1A1A"/>
                    </a:solidFill>
                    <a:latin typeface="+mn-lt"/>
                  </a:defRPr>
                </a:pPr>
                <a:r>
                  <a:rPr b="0">
                    <a:solidFill>
                      <a:srgbClr val="1A1A1A"/>
                    </a:solidFill>
                    <a:latin typeface="+mn-lt"/>
                  </a:rPr>
                  <a:t>Transaction_day</a:t>
                </a:r>
              </a:p>
            </c:rich>
          </c:tx>
          <c:overlay val="0"/>
        </c:title>
        <c:numFmt formatCode="General" sourceLinked="1"/>
        <c:majorTickMark val="none"/>
        <c:minorTickMark val="none"/>
        <c:spPr>
          <a:ln>
            <a:noFill/>
          </a:ln>
        </c:spPr>
        <c:txPr>
          <a:bodyPr/>
          <a:lstStyle/>
          <a:p>
            <a:pPr lvl="0">
              <a:defRPr b="0">
                <a:solidFill>
                  <a:srgbClr val="1A1A1A"/>
                </a:solidFill>
                <a:latin typeface="+mn-lt"/>
              </a:defRPr>
            </a:pPr>
          </a:p>
        </c:txPr>
        <c:crossAx val="1929822826"/>
      </c:catAx>
      <c:valAx>
        <c:axId val="192982282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1A1A1A"/>
                    </a:solidFill>
                    <a:latin typeface="+mn-lt"/>
                  </a:defRPr>
                </a:pPr>
                <a:r>
                  <a:rPr b="0">
                    <a:solidFill>
                      <a:srgbClr val="1A1A1A"/>
                    </a:solidFill>
                    <a:latin typeface="+mn-lt"/>
                  </a:rPr>
                  <a:t>SUM of Daily % Gross Profit</a:t>
                </a:r>
              </a:p>
            </c:rich>
          </c:tx>
          <c:overlay val="0"/>
        </c:title>
        <c:numFmt formatCode="General" sourceLinked="1"/>
        <c:majorTickMark val="none"/>
        <c:minorTickMark val="none"/>
        <c:tickLblPos val="nextTo"/>
        <c:spPr>
          <a:ln>
            <a:noFill/>
          </a:ln>
        </c:spPr>
        <c:txPr>
          <a:bodyPr/>
          <a:lstStyle/>
          <a:p>
            <a:pPr lvl="0">
              <a:defRPr b="0">
                <a:solidFill>
                  <a:srgbClr val="1A1A1A"/>
                </a:solidFill>
                <a:latin typeface="+mn-lt"/>
              </a:defRPr>
            </a:pPr>
          </a:p>
        </c:txPr>
        <c:crossAx val="295423698"/>
      </c:valAx>
    </c:plotArea>
    <c:legend>
      <c:legendPos val="r"/>
      <c:overlay val="0"/>
      <c:txPr>
        <a:bodyPr/>
        <a:lstStyle/>
        <a:p>
          <a:pPr lvl="0">
            <a:defRPr b="0">
              <a:solidFill>
                <a:srgbClr val="313131"/>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 Gross Profit By Promotion Period</a:t>
            </a:r>
          </a:p>
        </c:rich>
      </c:tx>
      <c:overlay val="0"/>
    </c:title>
    <c:plotArea>
      <c:layout/>
      <c:barChart>
        <c:barDir val="col"/>
        <c:ser>
          <c:idx val="0"/>
          <c:order val="0"/>
          <c:tx>
            <c:strRef>
              <c:f>'Product Performance By Time'!$B$37</c:f>
            </c:strRef>
          </c:tx>
          <c:spPr>
            <a:solidFill>
              <a:schemeClr val="accent1"/>
            </a:solidFill>
            <a:ln cmpd="sng">
              <a:noFill/>
            </a:ln>
          </c:spPr>
          <c:cat>
            <c:strRef>
              <c:f>'Product Performance By Time'!$A$38:$A$42</c:f>
            </c:strRef>
          </c:cat>
          <c:val>
            <c:numRef>
              <c:f>'Product Performance By Time'!$B$38:$B$42</c:f>
              <c:numCache/>
            </c:numRef>
          </c:val>
        </c:ser>
        <c:axId val="725433819"/>
        <c:axId val="1880939763"/>
      </c:barChart>
      <c:catAx>
        <c:axId val="725433819"/>
        <c:scaling>
          <c:orientation val="minMax"/>
        </c:scaling>
        <c:delete val="0"/>
        <c:axPos val="b"/>
        <c:title>
          <c:tx>
            <c:rich>
              <a:bodyPr/>
              <a:lstStyle/>
              <a:p>
                <a:pPr lvl="0">
                  <a:defRPr b="0">
                    <a:solidFill>
                      <a:srgbClr val="1A1A1A"/>
                    </a:solidFill>
                    <a:latin typeface="+mn-lt"/>
                  </a:defRPr>
                </a:pPr>
                <a:r>
                  <a:rPr b="0">
                    <a:solidFill>
                      <a:srgbClr val="1A1A1A"/>
                    </a:solidFill>
                    <a:latin typeface="+mn-lt"/>
                  </a:rPr>
                  <a:t>Promotion Period</a:t>
                </a:r>
              </a:p>
            </c:rich>
          </c:tx>
          <c:overlay val="0"/>
        </c:title>
        <c:numFmt formatCode="General" sourceLinked="1"/>
        <c:majorTickMark val="none"/>
        <c:minorTickMark val="none"/>
        <c:spPr>
          <a:ln>
            <a:noFill/>
          </a:ln>
        </c:spPr>
        <c:txPr>
          <a:bodyPr/>
          <a:lstStyle/>
          <a:p>
            <a:pPr lvl="0">
              <a:defRPr b="0">
                <a:solidFill>
                  <a:srgbClr val="1A1A1A"/>
                </a:solidFill>
                <a:latin typeface="+mn-lt"/>
              </a:defRPr>
            </a:pPr>
          </a:p>
        </c:txPr>
        <c:crossAx val="1880939763"/>
      </c:catAx>
      <c:valAx>
        <c:axId val="18809397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1A1A1A"/>
                    </a:solidFill>
                    <a:latin typeface="+mn-lt"/>
                  </a:defRPr>
                </a:pPr>
                <a:r>
                  <a:rPr b="0">
                    <a:solidFill>
                      <a:srgbClr val="1A1A1A"/>
                    </a:solidFill>
                    <a:latin typeface="+mn-lt"/>
                  </a:rPr>
                  <a:t>SUM of Daily % Gross Profit</a:t>
                </a:r>
              </a:p>
            </c:rich>
          </c:tx>
          <c:overlay val="0"/>
        </c:title>
        <c:numFmt formatCode="General" sourceLinked="1"/>
        <c:majorTickMark val="none"/>
        <c:minorTickMark val="none"/>
        <c:tickLblPos val="nextTo"/>
        <c:spPr>
          <a:ln>
            <a:noFill/>
          </a:ln>
        </c:spPr>
        <c:txPr>
          <a:bodyPr/>
          <a:lstStyle/>
          <a:p>
            <a:pPr lvl="0">
              <a:defRPr b="0">
                <a:solidFill>
                  <a:srgbClr val="1A1A1A"/>
                </a:solidFill>
                <a:latin typeface="+mn-lt"/>
              </a:defRPr>
            </a:pPr>
          </a:p>
        </c:txPr>
        <c:crossAx val="725433819"/>
      </c:valAx>
    </c:plotArea>
    <c:legend>
      <c:legendPos val="r"/>
      <c:overlay val="0"/>
      <c:txPr>
        <a:bodyPr/>
        <a:lstStyle/>
        <a:p>
          <a:pPr lvl="0">
            <a:defRPr b="0">
              <a:solidFill>
                <a:srgbClr val="313131"/>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838383"/>
                </a:solidFill>
                <a:latin typeface="+mn-lt"/>
              </a:defRPr>
            </a:pPr>
            <a:r>
              <a:rPr b="0">
                <a:solidFill>
                  <a:srgbClr val="838383"/>
                </a:solidFill>
                <a:latin typeface="+mn-lt"/>
              </a:rPr>
              <a:t>AVERAGE of Unit Price vs. Transaction_day</a:t>
            </a:r>
          </a:p>
        </c:rich>
      </c:tx>
      <c:overlay val="0"/>
    </c:title>
    <c:plotArea>
      <c:layout/>
      <c:lineChart>
        <c:varyColors val="0"/>
        <c:ser>
          <c:idx val="0"/>
          <c:order val="0"/>
          <c:tx>
            <c:strRef>
              <c:f>'Product Performance By Time'!$B$1103</c:f>
            </c:strRef>
          </c:tx>
          <c:spPr>
            <a:ln cmpd="sng">
              <a:solidFill>
                <a:srgbClr val="1A9988"/>
              </a:solidFill>
            </a:ln>
          </c:spPr>
          <c:marker>
            <c:symbol val="none"/>
          </c:marker>
          <c:cat>
            <c:strRef>
              <c:f>'Product Performance By Time'!$A$1104:$A$1134</c:f>
            </c:strRef>
          </c:cat>
          <c:val>
            <c:numRef>
              <c:f>'Product Performance By Time'!$B$1104:$B$1134</c:f>
              <c:numCache/>
            </c:numRef>
          </c:val>
          <c:smooth val="0"/>
        </c:ser>
        <c:axId val="608265029"/>
        <c:axId val="304451113"/>
      </c:lineChart>
      <c:catAx>
        <c:axId val="608265029"/>
        <c:scaling>
          <c:orientation val="minMax"/>
        </c:scaling>
        <c:delete val="0"/>
        <c:axPos val="b"/>
        <c:title>
          <c:tx>
            <c:rich>
              <a:bodyPr/>
              <a:lstStyle/>
              <a:p>
                <a:pPr lvl="0">
                  <a:defRPr b="0">
                    <a:solidFill>
                      <a:srgbClr val="1A1A1A"/>
                    </a:solidFill>
                    <a:latin typeface="+mn-lt"/>
                  </a:defRPr>
                </a:pPr>
                <a:r>
                  <a:rPr b="0">
                    <a:solidFill>
                      <a:srgbClr val="1A1A1A"/>
                    </a:solidFill>
                    <a:latin typeface="+mn-lt"/>
                  </a:rPr>
                  <a:t>Transaction_day</a:t>
                </a:r>
              </a:p>
            </c:rich>
          </c:tx>
          <c:overlay val="0"/>
        </c:title>
        <c:numFmt formatCode="General" sourceLinked="1"/>
        <c:majorTickMark val="none"/>
        <c:minorTickMark val="none"/>
        <c:spPr>
          <a:ln>
            <a:noFill/>
          </a:ln>
        </c:spPr>
        <c:txPr>
          <a:bodyPr/>
          <a:lstStyle/>
          <a:p>
            <a:pPr lvl="0">
              <a:defRPr b="0">
                <a:solidFill>
                  <a:srgbClr val="1A1A1A"/>
                </a:solidFill>
                <a:latin typeface="+mn-lt"/>
              </a:defRPr>
            </a:pPr>
          </a:p>
        </c:txPr>
        <c:crossAx val="304451113"/>
      </c:catAx>
      <c:valAx>
        <c:axId val="30445111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1A1A1A"/>
                    </a:solidFill>
                    <a:latin typeface="+mn-lt"/>
                  </a:defRPr>
                </a:pPr>
                <a:r>
                  <a:rPr b="0">
                    <a:solidFill>
                      <a:srgbClr val="1A1A1A"/>
                    </a:solidFill>
                    <a:latin typeface="+mn-lt"/>
                  </a:rPr>
                  <a:t>AVERAGE of Unit Price</a:t>
                </a:r>
              </a:p>
            </c:rich>
          </c:tx>
          <c:overlay val="0"/>
        </c:title>
        <c:numFmt formatCode="General" sourceLinked="1"/>
        <c:majorTickMark val="none"/>
        <c:minorTickMark val="none"/>
        <c:tickLblPos val="nextTo"/>
        <c:spPr>
          <a:ln>
            <a:noFill/>
          </a:ln>
        </c:spPr>
        <c:txPr>
          <a:bodyPr/>
          <a:lstStyle/>
          <a:p>
            <a:pPr lvl="0">
              <a:defRPr b="0">
                <a:solidFill>
                  <a:srgbClr val="1A1A1A"/>
                </a:solidFill>
                <a:latin typeface="+mn-lt"/>
              </a:defRPr>
            </a:pPr>
          </a:p>
        </c:txPr>
        <c:crossAx val="608265029"/>
      </c:valAx>
    </c:plotArea>
    <c:legend>
      <c:legendPos val="r"/>
      <c:overlay val="0"/>
      <c:txPr>
        <a:bodyPr/>
        <a:lstStyle/>
        <a:p>
          <a:pPr lvl="0">
            <a:defRPr b="0">
              <a:solidFill>
                <a:srgbClr val="313131"/>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accent2"/>
                </a:solidFill>
                <a:latin typeface="+mn-lt"/>
              </a:defRPr>
            </a:pPr>
            <a:r>
              <a:rPr b="1">
                <a:solidFill>
                  <a:schemeClr val="accent2"/>
                </a:solidFill>
                <a:latin typeface="+mn-lt"/>
              </a:rPr>
              <a:t>Average Unit Price By Transaction Day</a:t>
            </a:r>
          </a:p>
        </c:rich>
      </c:tx>
      <c:overlay val="0"/>
    </c:title>
    <c:plotArea>
      <c:layout/>
      <c:lineChart>
        <c:varyColors val="0"/>
        <c:ser>
          <c:idx val="0"/>
          <c:order val="0"/>
          <c:tx>
            <c:strRef>
              <c:f>'Product Performance By Time'!$B$46</c:f>
            </c:strRef>
          </c:tx>
          <c:spPr>
            <a:ln cmpd="sng">
              <a:solidFill>
                <a:srgbClr val="1A9988"/>
              </a:solidFill>
            </a:ln>
          </c:spPr>
          <c:marker>
            <c:symbol val="none"/>
          </c:marker>
          <c:cat>
            <c:strRef>
              <c:f>'Product Performance By Time'!$A$47:$A$77</c:f>
            </c:strRef>
          </c:cat>
          <c:val>
            <c:numRef>
              <c:f>'Product Performance By Time'!$B$47:$B$77</c:f>
              <c:numCache/>
            </c:numRef>
          </c:val>
          <c:smooth val="1"/>
        </c:ser>
        <c:axId val="1740887512"/>
        <c:axId val="1886268459"/>
      </c:lineChart>
      <c:catAx>
        <c:axId val="1740887512"/>
        <c:scaling>
          <c:orientation val="minMax"/>
        </c:scaling>
        <c:delete val="0"/>
        <c:axPos val="b"/>
        <c:title>
          <c:tx>
            <c:rich>
              <a:bodyPr/>
              <a:lstStyle/>
              <a:p>
                <a:pPr lvl="0">
                  <a:defRPr b="0">
                    <a:solidFill>
                      <a:srgbClr val="1A1A1A"/>
                    </a:solidFill>
                    <a:latin typeface="+mn-lt"/>
                  </a:defRPr>
                </a:pPr>
                <a:r>
                  <a:rPr b="0">
                    <a:solidFill>
                      <a:srgbClr val="1A1A1A"/>
                    </a:solidFill>
                    <a:latin typeface="+mn-lt"/>
                  </a:rPr>
                  <a:t>Transaction Day</a:t>
                </a:r>
              </a:p>
            </c:rich>
          </c:tx>
          <c:overlay val="0"/>
        </c:title>
        <c:numFmt formatCode="General" sourceLinked="1"/>
        <c:majorTickMark val="none"/>
        <c:minorTickMark val="none"/>
        <c:spPr>
          <a:ln>
            <a:noFill/>
          </a:ln>
        </c:spPr>
        <c:txPr>
          <a:bodyPr/>
          <a:lstStyle/>
          <a:p>
            <a:pPr lvl="0">
              <a:defRPr b="0">
                <a:solidFill>
                  <a:srgbClr val="1A1A1A"/>
                </a:solidFill>
                <a:latin typeface="+mn-lt"/>
              </a:defRPr>
            </a:pPr>
          </a:p>
        </c:txPr>
        <c:crossAx val="1886268459"/>
      </c:catAx>
      <c:valAx>
        <c:axId val="188626845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1A1A1A"/>
                    </a:solidFill>
                    <a:latin typeface="+mn-lt"/>
                  </a:defRPr>
                </a:pPr>
                <a:r>
                  <a:rPr b="0">
                    <a:solidFill>
                      <a:srgbClr val="1A1A1A"/>
                    </a:solidFill>
                    <a:latin typeface="+mn-lt"/>
                  </a:rPr>
                  <a:t>AVERAGE of Unit Price</a:t>
                </a:r>
              </a:p>
            </c:rich>
          </c:tx>
          <c:overlay val="0"/>
        </c:title>
        <c:numFmt formatCode="General" sourceLinked="1"/>
        <c:majorTickMark val="none"/>
        <c:minorTickMark val="none"/>
        <c:tickLblPos val="nextTo"/>
        <c:spPr>
          <a:ln>
            <a:noFill/>
          </a:ln>
        </c:spPr>
        <c:txPr>
          <a:bodyPr/>
          <a:lstStyle/>
          <a:p>
            <a:pPr lvl="0">
              <a:defRPr b="0">
                <a:solidFill>
                  <a:srgbClr val="1A1A1A"/>
                </a:solidFill>
                <a:latin typeface="+mn-lt"/>
              </a:defRPr>
            </a:pPr>
          </a:p>
        </c:txPr>
        <c:crossAx val="1740887512"/>
      </c:valAx>
    </c:plotArea>
    <c:legend>
      <c:legendPos val="r"/>
      <c:overlay val="0"/>
      <c:txPr>
        <a:bodyPr/>
        <a:lstStyle/>
        <a:p>
          <a:pPr lvl="0">
            <a:defRPr b="0">
              <a:solidFill>
                <a:srgbClr val="313131"/>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dk1"/>
                </a:solidFill>
                <a:latin typeface="+mn-lt"/>
              </a:defRPr>
            </a:pPr>
            <a:r>
              <a:rPr b="1">
                <a:solidFill>
                  <a:schemeClr val="dk1"/>
                </a:solidFill>
                <a:latin typeface="+mn-lt"/>
              </a:rPr>
              <a:t>% Gross Profit By Transaction Months </a:t>
            </a:r>
          </a:p>
        </c:rich>
      </c:tx>
      <c:overlay val="0"/>
    </c:title>
    <c:plotArea>
      <c:layout/>
      <c:barChart>
        <c:barDir val="col"/>
        <c:ser>
          <c:idx val="0"/>
          <c:order val="0"/>
          <c:tx>
            <c:strRef>
              <c:f>'Product Performance By Time'!$C$80</c:f>
            </c:strRef>
          </c:tx>
          <c:spPr>
            <a:solidFill>
              <a:schemeClr val="accent1"/>
            </a:solidFill>
            <a:ln cmpd="sng">
              <a:noFill/>
            </a:ln>
          </c:spPr>
          <c:cat>
            <c:strRef>
              <c:f>'Product Performance By Time'!$B$81:$B$119</c:f>
            </c:strRef>
          </c:cat>
          <c:val>
            <c:numRef>
              <c:f>'Product Performance By Time'!$C$81:$C$119</c:f>
              <c:numCache/>
            </c:numRef>
          </c:val>
        </c:ser>
        <c:axId val="226929477"/>
        <c:axId val="1040997940"/>
      </c:barChart>
      <c:catAx>
        <c:axId val="226929477"/>
        <c:scaling>
          <c:orientation val="minMax"/>
        </c:scaling>
        <c:delete val="0"/>
        <c:axPos val="b"/>
        <c:title>
          <c:tx>
            <c:rich>
              <a:bodyPr/>
              <a:lstStyle/>
              <a:p>
                <a:pPr lvl="0">
                  <a:defRPr b="1">
                    <a:solidFill>
                      <a:srgbClr val="1A1A1A"/>
                    </a:solidFill>
                    <a:latin typeface="+mn-lt"/>
                  </a:defRPr>
                </a:pPr>
                <a:r>
                  <a:rPr b="1">
                    <a:solidFill>
                      <a:srgbClr val="1A1A1A"/>
                    </a:solidFill>
                    <a:latin typeface="+mn-lt"/>
                  </a:rPr>
                  <a:t>Transaction Months</a:t>
                </a:r>
              </a:p>
            </c:rich>
          </c:tx>
          <c:overlay val="0"/>
        </c:title>
        <c:numFmt formatCode="General" sourceLinked="1"/>
        <c:majorTickMark val="none"/>
        <c:minorTickMark val="none"/>
        <c:spPr>
          <a:ln>
            <a:noFill/>
          </a:ln>
        </c:spPr>
        <c:txPr>
          <a:bodyPr/>
          <a:lstStyle/>
          <a:p>
            <a:pPr lvl="0">
              <a:defRPr b="0">
                <a:solidFill>
                  <a:srgbClr val="1A1A1A"/>
                </a:solidFill>
                <a:latin typeface="+mn-lt"/>
              </a:defRPr>
            </a:pPr>
          </a:p>
        </c:txPr>
        <c:crossAx val="1040997940"/>
      </c:catAx>
      <c:valAx>
        <c:axId val="104099794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1A1A1A"/>
                    </a:solidFill>
                    <a:latin typeface="+mn-lt"/>
                  </a:defRPr>
                </a:pPr>
                <a:r>
                  <a:rPr b="1">
                    <a:solidFill>
                      <a:srgbClr val="1A1A1A"/>
                    </a:solidFill>
                    <a:latin typeface="+mn-lt"/>
                  </a:rPr>
                  <a:t>%Gross Profit</a:t>
                </a:r>
              </a:p>
            </c:rich>
          </c:tx>
          <c:overlay val="0"/>
        </c:title>
        <c:numFmt formatCode="General" sourceLinked="1"/>
        <c:majorTickMark val="none"/>
        <c:minorTickMark val="none"/>
        <c:tickLblPos val="nextTo"/>
        <c:spPr>
          <a:ln>
            <a:noFill/>
          </a:ln>
        </c:spPr>
        <c:txPr>
          <a:bodyPr/>
          <a:lstStyle/>
          <a:p>
            <a:pPr lvl="0">
              <a:defRPr b="0">
                <a:solidFill>
                  <a:srgbClr val="1A1A1A"/>
                </a:solidFill>
                <a:latin typeface="+mn-lt"/>
              </a:defRPr>
            </a:pPr>
          </a:p>
        </c:txPr>
        <c:crossAx val="226929477"/>
      </c:valAx>
    </c:plotArea>
    <c:legend>
      <c:legendPos val="r"/>
      <c:overlay val="0"/>
      <c:txPr>
        <a:bodyPr/>
        <a:lstStyle/>
        <a:p>
          <a:pPr lvl="0">
            <a:defRPr b="0">
              <a:solidFill>
                <a:srgbClr val="313131"/>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dk1"/>
                </a:solidFill>
                <a:latin typeface="+mn-lt"/>
              </a:defRPr>
            </a:pPr>
            <a:r>
              <a:rPr b="1">
                <a:solidFill>
                  <a:schemeClr val="dk1"/>
                </a:solidFill>
                <a:latin typeface="+mn-lt"/>
              </a:rPr>
              <a:t>Sales and Cost Of Sales By Promotion Period</a:t>
            </a:r>
          </a:p>
        </c:rich>
      </c:tx>
      <c:overlay val="0"/>
    </c:title>
    <c:plotArea>
      <c:layout/>
      <c:barChart>
        <c:barDir val="col"/>
        <c:ser>
          <c:idx val="0"/>
          <c:order val="0"/>
          <c:tx>
            <c:strRef>
              <c:f>'Promotion Period Product Perfor'!$B$35</c:f>
            </c:strRef>
          </c:tx>
          <c:spPr>
            <a:solidFill>
              <a:schemeClr val="accent1"/>
            </a:solidFill>
            <a:ln cmpd="sng">
              <a:noFill/>
            </a:ln>
          </c:spPr>
          <c:cat>
            <c:strRef>
              <c:f>'Promotion Period Product Perfor'!$A$36:$A$40</c:f>
            </c:strRef>
          </c:cat>
          <c:val>
            <c:numRef>
              <c:f>'Promotion Period Product Perfor'!$B$36:$B$40</c:f>
              <c:numCache/>
            </c:numRef>
          </c:val>
        </c:ser>
        <c:ser>
          <c:idx val="1"/>
          <c:order val="1"/>
          <c:tx>
            <c:strRef>
              <c:f>'Promotion Period Product Perfor'!$C$35</c:f>
            </c:strRef>
          </c:tx>
          <c:spPr>
            <a:solidFill>
              <a:schemeClr val="accent2"/>
            </a:solidFill>
            <a:ln cmpd="sng">
              <a:noFill/>
            </a:ln>
          </c:spPr>
          <c:cat>
            <c:strRef>
              <c:f>'Promotion Period Product Perfor'!$A$36:$A$40</c:f>
            </c:strRef>
          </c:cat>
          <c:val>
            <c:numRef>
              <c:f>'Promotion Period Product Perfor'!$C$36:$C$40</c:f>
              <c:numCache/>
            </c:numRef>
          </c:val>
        </c:ser>
        <c:axId val="1086220967"/>
        <c:axId val="357113592"/>
      </c:barChart>
      <c:catAx>
        <c:axId val="1086220967"/>
        <c:scaling>
          <c:orientation val="minMax"/>
        </c:scaling>
        <c:delete val="0"/>
        <c:axPos val="b"/>
        <c:title>
          <c:tx>
            <c:rich>
              <a:bodyPr/>
              <a:lstStyle/>
              <a:p>
                <a:pPr lvl="0">
                  <a:defRPr b="0">
                    <a:solidFill>
                      <a:srgbClr val="1A1A1A"/>
                    </a:solidFill>
                    <a:latin typeface="+mn-lt"/>
                  </a:defRPr>
                </a:pPr>
                <a:r>
                  <a:rPr b="0">
                    <a:solidFill>
                      <a:srgbClr val="1A1A1A"/>
                    </a:solidFill>
                    <a:latin typeface="+mn-lt"/>
                  </a:rPr>
                  <a:t>Promotion Period</a:t>
                </a:r>
              </a:p>
            </c:rich>
          </c:tx>
          <c:overlay val="0"/>
        </c:title>
        <c:numFmt formatCode="General" sourceLinked="1"/>
        <c:majorTickMark val="none"/>
        <c:minorTickMark val="none"/>
        <c:spPr>
          <a:ln>
            <a:noFill/>
          </a:ln>
        </c:spPr>
        <c:txPr>
          <a:bodyPr/>
          <a:lstStyle/>
          <a:p>
            <a:pPr lvl="0">
              <a:defRPr b="0">
                <a:solidFill>
                  <a:srgbClr val="1A1A1A"/>
                </a:solidFill>
                <a:latin typeface="+mn-lt"/>
              </a:defRPr>
            </a:pPr>
          </a:p>
        </c:txPr>
        <c:crossAx val="357113592"/>
      </c:catAx>
      <c:valAx>
        <c:axId val="3571135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1A1A1A"/>
                    </a:solidFill>
                    <a:latin typeface="+mn-lt"/>
                  </a:defRPr>
                </a:pPr>
                <a:r>
                  <a:rPr b="0">
                    <a:solidFill>
                      <a:srgbClr val="1A1A1A"/>
                    </a:solidFill>
                    <a:latin typeface="+mn-lt"/>
                  </a:rPr>
                  <a:t/>
                </a:r>
              </a:p>
            </c:rich>
          </c:tx>
          <c:overlay val="0"/>
        </c:title>
        <c:numFmt formatCode="General" sourceLinked="0"/>
        <c:majorTickMark val="none"/>
        <c:minorTickMark val="none"/>
        <c:tickLblPos val="nextTo"/>
        <c:spPr>
          <a:ln>
            <a:noFill/>
          </a:ln>
        </c:spPr>
        <c:txPr>
          <a:bodyPr/>
          <a:lstStyle/>
          <a:p>
            <a:pPr lvl="0">
              <a:defRPr b="0">
                <a:solidFill>
                  <a:srgbClr val="1A1A1A"/>
                </a:solidFill>
                <a:latin typeface="+mn-lt"/>
              </a:defRPr>
            </a:pPr>
          </a:p>
        </c:txPr>
        <c:crossAx val="1086220967"/>
      </c:valAx>
    </c:plotArea>
    <c:legend>
      <c:legendPos val="r"/>
      <c:overlay val="0"/>
      <c:txPr>
        <a:bodyPr/>
        <a:lstStyle/>
        <a:p>
          <a:pPr lvl="0">
            <a:defRPr b="0">
              <a:solidFill>
                <a:srgbClr val="313131"/>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Promotion Period By Total Price Elasticity</a:t>
            </a:r>
          </a:p>
        </c:rich>
      </c:tx>
      <c:overlay val="0"/>
    </c:title>
    <c:plotArea>
      <c:layout/>
      <c:barChart>
        <c:barDir val="col"/>
        <c:ser>
          <c:idx val="0"/>
          <c:order val="0"/>
          <c:tx>
            <c:strRef>
              <c:f>'Promotion Period Product Perfor'!$B$49</c:f>
            </c:strRef>
          </c:tx>
          <c:spPr>
            <a:solidFill>
              <a:schemeClr val="accent1"/>
            </a:solidFill>
            <a:ln cmpd="sng">
              <a:noFill/>
            </a:ln>
          </c:spPr>
          <c:dLbls>
            <c:numFmt formatCode="General" sourceLinked="1"/>
            <c:txPr>
              <a:bodyPr/>
              <a:lstStyle/>
              <a:p>
                <a:pPr lvl="0">
                  <a:defRPr b="1"/>
                </a:pPr>
              </a:p>
            </c:txPr>
            <c:showLegendKey val="0"/>
            <c:showVal val="1"/>
            <c:showCatName val="0"/>
            <c:showSerName val="0"/>
            <c:showPercent val="0"/>
            <c:showBubbleSize val="0"/>
          </c:dLbls>
          <c:cat>
            <c:strRef>
              <c:f>'Promotion Period Product Perfor'!$A$50:$A$53</c:f>
            </c:strRef>
          </c:cat>
          <c:val>
            <c:numRef>
              <c:f>'Promotion Period Product Perfor'!$B$50:$B$53</c:f>
              <c:numCache/>
            </c:numRef>
          </c:val>
        </c:ser>
        <c:ser>
          <c:idx val="1"/>
          <c:order val="1"/>
          <c:tx>
            <c:strRef>
              <c:f>'Promotion Period Product Perfor'!$C$49</c:f>
            </c:strRef>
          </c:tx>
          <c:cat>
            <c:strRef>
              <c:f>'Promotion Period Product Perfor'!$A$50:$A$53</c:f>
            </c:strRef>
          </c:cat>
          <c:val>
            <c:numRef>
              <c:f>'Promotion Period Product Perfor'!$C$50:$C$53</c:f>
              <c:numCache/>
            </c:numRef>
          </c:val>
        </c:ser>
        <c:axId val="1862875117"/>
        <c:axId val="2056029806"/>
      </c:barChart>
      <c:catAx>
        <c:axId val="1862875117"/>
        <c:scaling>
          <c:orientation val="minMax"/>
        </c:scaling>
        <c:delete val="0"/>
        <c:axPos val="b"/>
        <c:title>
          <c:tx>
            <c:rich>
              <a:bodyPr/>
              <a:lstStyle/>
              <a:p>
                <a:pPr lvl="0">
                  <a:defRPr b="1">
                    <a:solidFill>
                      <a:srgbClr val="1A1A1A"/>
                    </a:solidFill>
                    <a:latin typeface="+mn-lt"/>
                  </a:defRPr>
                </a:pPr>
                <a:r>
                  <a:rPr b="1">
                    <a:solidFill>
                      <a:srgbClr val="1A1A1A"/>
                    </a:solidFill>
                    <a:latin typeface="+mn-lt"/>
                  </a:rPr>
                  <a:t>Promotion Period</a:t>
                </a:r>
              </a:p>
            </c:rich>
          </c:tx>
          <c:overlay val="0"/>
        </c:title>
        <c:numFmt formatCode="General" sourceLinked="1"/>
        <c:majorTickMark val="none"/>
        <c:minorTickMark val="none"/>
        <c:spPr>
          <a:ln>
            <a:noFill/>
          </a:ln>
        </c:spPr>
        <c:txPr>
          <a:bodyPr/>
          <a:lstStyle/>
          <a:p>
            <a:pPr lvl="0">
              <a:defRPr b="0">
                <a:solidFill>
                  <a:srgbClr val="1A1A1A"/>
                </a:solidFill>
                <a:latin typeface="+mn-lt"/>
              </a:defRPr>
            </a:pPr>
          </a:p>
        </c:txPr>
        <c:crossAx val="2056029806"/>
      </c:catAx>
      <c:valAx>
        <c:axId val="20560298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1A1A1A"/>
                    </a:solidFill>
                    <a:latin typeface="+mn-lt"/>
                  </a:defRPr>
                </a:pPr>
                <a:r>
                  <a:rPr b="1">
                    <a:solidFill>
                      <a:srgbClr val="1A1A1A"/>
                    </a:solidFill>
                    <a:latin typeface="+mn-lt"/>
                  </a:rPr>
                  <a:t>Price Elasticity</a:t>
                </a:r>
              </a:p>
            </c:rich>
          </c:tx>
          <c:overlay val="0"/>
        </c:title>
        <c:numFmt formatCode="General" sourceLinked="1"/>
        <c:majorTickMark val="none"/>
        <c:minorTickMark val="none"/>
        <c:tickLblPos val="nextTo"/>
        <c:spPr>
          <a:ln>
            <a:noFill/>
          </a:ln>
        </c:spPr>
        <c:txPr>
          <a:bodyPr/>
          <a:lstStyle/>
          <a:p>
            <a:pPr lvl="0">
              <a:defRPr b="0">
                <a:solidFill>
                  <a:srgbClr val="1A1A1A"/>
                </a:solidFill>
                <a:latin typeface="+mn-lt"/>
              </a:defRPr>
            </a:pPr>
          </a:p>
        </c:txPr>
        <c:crossAx val="1862875117"/>
      </c:valAx>
    </c:plotArea>
    <c:legend>
      <c:legendPos val="r"/>
      <c:overlay val="0"/>
      <c:txPr>
        <a:bodyPr/>
        <a:lstStyle/>
        <a:p>
          <a:pPr lvl="0">
            <a:defRPr b="0">
              <a:solidFill>
                <a:srgbClr val="313131"/>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AVG Gross Profit, Cost Of Sales and Sales By Promotion Period</a:t>
            </a:r>
          </a:p>
        </c:rich>
      </c:tx>
      <c:overlay val="0"/>
    </c:title>
    <c:plotArea>
      <c:layout/>
      <c:barChart>
        <c:barDir val="col"/>
        <c:ser>
          <c:idx val="0"/>
          <c:order val="0"/>
          <c:tx>
            <c:strRef>
              <c:f>'Promotion Period Product Perfor'!$B$3</c:f>
            </c:strRef>
          </c:tx>
          <c:spPr>
            <a:solidFill>
              <a:schemeClr val="accent1"/>
            </a:solidFill>
            <a:ln cmpd="sng">
              <a:noFill/>
            </a:ln>
          </c:spPr>
          <c:cat>
            <c:strRef>
              <c:f>'Promotion Period Product Perfor'!$A$4:$A$8</c:f>
            </c:strRef>
          </c:cat>
          <c:val>
            <c:numRef>
              <c:f>'Promotion Period Product Perfor'!$B$4:$B$8</c:f>
              <c:numCache/>
            </c:numRef>
          </c:val>
        </c:ser>
        <c:ser>
          <c:idx val="1"/>
          <c:order val="1"/>
          <c:tx>
            <c:strRef>
              <c:f>'Promotion Period Product Perfor'!$C$3</c:f>
            </c:strRef>
          </c:tx>
          <c:spPr>
            <a:solidFill>
              <a:schemeClr val="accent2"/>
            </a:solidFill>
            <a:ln cmpd="sng">
              <a:noFill/>
            </a:ln>
          </c:spPr>
          <c:cat>
            <c:strRef>
              <c:f>'Promotion Period Product Perfor'!$A$4:$A$8</c:f>
            </c:strRef>
          </c:cat>
          <c:val>
            <c:numRef>
              <c:f>'Promotion Period Product Perfor'!$C$4:$C$8</c:f>
              <c:numCache/>
            </c:numRef>
          </c:val>
        </c:ser>
        <c:ser>
          <c:idx val="2"/>
          <c:order val="2"/>
          <c:tx>
            <c:strRef>
              <c:f>'Promotion Period Product Perfor'!$D$3</c:f>
            </c:strRef>
          </c:tx>
          <c:spPr>
            <a:solidFill>
              <a:schemeClr val="accent3"/>
            </a:solidFill>
            <a:ln cmpd="sng">
              <a:noFill/>
            </a:ln>
          </c:spPr>
          <c:cat>
            <c:strRef>
              <c:f>'Promotion Period Product Perfor'!$A$4:$A$8</c:f>
            </c:strRef>
          </c:cat>
          <c:val>
            <c:numRef>
              <c:f>'Promotion Period Product Perfor'!$D$4:$D$8</c:f>
              <c:numCache/>
            </c:numRef>
          </c:val>
        </c:ser>
        <c:axId val="561467577"/>
        <c:axId val="1705746937"/>
      </c:barChart>
      <c:catAx>
        <c:axId val="561467577"/>
        <c:scaling>
          <c:orientation val="minMax"/>
        </c:scaling>
        <c:delete val="0"/>
        <c:axPos val="b"/>
        <c:title>
          <c:tx>
            <c:rich>
              <a:bodyPr/>
              <a:lstStyle/>
              <a:p>
                <a:pPr lvl="0">
                  <a:defRPr b="0">
                    <a:solidFill>
                      <a:srgbClr val="1A1A1A"/>
                    </a:solidFill>
                    <a:latin typeface="+mn-lt"/>
                  </a:defRPr>
                </a:pPr>
                <a:r>
                  <a:rPr b="0">
                    <a:solidFill>
                      <a:srgbClr val="1A1A1A"/>
                    </a:solidFill>
                    <a:latin typeface="+mn-lt"/>
                  </a:rPr>
                  <a:t>Promotion Period</a:t>
                </a:r>
              </a:p>
            </c:rich>
          </c:tx>
          <c:overlay val="0"/>
        </c:title>
        <c:numFmt formatCode="General" sourceLinked="1"/>
        <c:majorTickMark val="none"/>
        <c:minorTickMark val="none"/>
        <c:spPr>
          <a:ln>
            <a:noFill/>
          </a:ln>
        </c:spPr>
        <c:txPr>
          <a:bodyPr/>
          <a:lstStyle/>
          <a:p>
            <a:pPr lvl="0">
              <a:defRPr b="0">
                <a:solidFill>
                  <a:srgbClr val="1A1A1A"/>
                </a:solidFill>
                <a:latin typeface="+mn-lt"/>
              </a:defRPr>
            </a:pPr>
          </a:p>
        </c:txPr>
        <c:crossAx val="1705746937"/>
      </c:catAx>
      <c:valAx>
        <c:axId val="170574693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1A1A1A"/>
                    </a:solidFill>
                    <a:latin typeface="+mn-lt"/>
                  </a:defRPr>
                </a:pPr>
                <a:r>
                  <a:rPr b="0">
                    <a:solidFill>
                      <a:srgbClr val="1A1A1A"/>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1A1A1A"/>
                </a:solidFill>
                <a:latin typeface="+mn-lt"/>
              </a:defRPr>
            </a:pPr>
          </a:p>
        </c:txPr>
        <c:crossAx val="561467577"/>
      </c:valAx>
    </c:plotArea>
    <c:legend>
      <c:legendPos val="r"/>
      <c:overlay val="0"/>
      <c:txPr>
        <a:bodyPr/>
        <a:lstStyle/>
        <a:p>
          <a:pPr lvl="0">
            <a:defRPr b="0">
              <a:solidFill>
                <a:srgbClr val="313131"/>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dk1"/>
                </a:solidFill>
                <a:latin typeface="+mn-lt"/>
              </a:defRPr>
            </a:pPr>
            <a:r>
              <a:rPr b="1">
                <a:solidFill>
                  <a:schemeClr val="dk1"/>
                </a:solidFill>
                <a:latin typeface="+mn-lt"/>
              </a:rPr>
              <a:t> % Gross Profit By Promotion Period</a:t>
            </a:r>
          </a:p>
        </c:rich>
      </c:tx>
      <c:overlay val="0"/>
    </c:title>
    <c:plotArea>
      <c:layout/>
      <c:barChart>
        <c:barDir val="col"/>
        <c:ser>
          <c:idx val="0"/>
          <c:order val="0"/>
          <c:tx>
            <c:strRef>
              <c:f>'Promotion Period Product Perfor'!$B$64</c:f>
            </c:strRef>
          </c:tx>
          <c:spPr>
            <a:solidFill>
              <a:schemeClr val="accent1"/>
            </a:solidFill>
            <a:ln cmpd="sng">
              <a:noFill/>
            </a:ln>
          </c:spPr>
          <c:cat>
            <c:strRef>
              <c:f>'Promotion Period Product Perfor'!$A$65:$A$68</c:f>
            </c:strRef>
          </c:cat>
          <c:val>
            <c:numRef>
              <c:f>'Promotion Period Product Perfor'!$B$65:$B$68</c:f>
              <c:numCache/>
            </c:numRef>
          </c:val>
        </c:ser>
        <c:axId val="593854922"/>
        <c:axId val="1027757480"/>
      </c:barChart>
      <c:catAx>
        <c:axId val="593854922"/>
        <c:scaling>
          <c:orientation val="minMax"/>
        </c:scaling>
        <c:delete val="0"/>
        <c:axPos val="b"/>
        <c:title>
          <c:tx>
            <c:rich>
              <a:bodyPr/>
              <a:lstStyle/>
              <a:p>
                <a:pPr lvl="0">
                  <a:defRPr b="0">
                    <a:solidFill>
                      <a:srgbClr val="1A1A1A"/>
                    </a:solidFill>
                    <a:latin typeface="+mn-lt"/>
                  </a:defRPr>
                </a:pPr>
                <a:r>
                  <a:rPr b="0">
                    <a:solidFill>
                      <a:srgbClr val="1A1A1A"/>
                    </a:solidFill>
                    <a:latin typeface="+mn-lt"/>
                  </a:rPr>
                  <a:t>Promotion Period</a:t>
                </a:r>
              </a:p>
            </c:rich>
          </c:tx>
          <c:overlay val="0"/>
        </c:title>
        <c:numFmt formatCode="General" sourceLinked="1"/>
        <c:majorTickMark val="none"/>
        <c:minorTickMark val="none"/>
        <c:spPr>
          <a:ln>
            <a:noFill/>
          </a:ln>
        </c:spPr>
        <c:txPr>
          <a:bodyPr/>
          <a:lstStyle/>
          <a:p>
            <a:pPr lvl="0">
              <a:defRPr b="0">
                <a:solidFill>
                  <a:srgbClr val="1A1A1A"/>
                </a:solidFill>
                <a:latin typeface="+mn-lt"/>
              </a:defRPr>
            </a:pPr>
          </a:p>
        </c:txPr>
        <c:crossAx val="1027757480"/>
      </c:catAx>
      <c:valAx>
        <c:axId val="102775748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1A1A1A"/>
                    </a:solidFill>
                    <a:latin typeface="+mn-lt"/>
                  </a:defRPr>
                </a:pPr>
                <a:r>
                  <a:rPr b="0">
                    <a:solidFill>
                      <a:srgbClr val="1A1A1A"/>
                    </a:solidFill>
                    <a:latin typeface="+mn-lt"/>
                  </a:rPr>
                  <a:t>SUM of Daily % Gross Profit</a:t>
                </a:r>
              </a:p>
            </c:rich>
          </c:tx>
          <c:overlay val="0"/>
        </c:title>
        <c:numFmt formatCode="General" sourceLinked="1"/>
        <c:majorTickMark val="none"/>
        <c:minorTickMark val="none"/>
        <c:tickLblPos val="nextTo"/>
        <c:spPr>
          <a:ln>
            <a:noFill/>
          </a:ln>
        </c:spPr>
        <c:txPr>
          <a:bodyPr/>
          <a:lstStyle/>
          <a:p>
            <a:pPr lvl="0">
              <a:defRPr b="0">
                <a:solidFill>
                  <a:srgbClr val="1A1A1A"/>
                </a:solidFill>
                <a:latin typeface="+mn-lt"/>
              </a:defRPr>
            </a:pPr>
          </a:p>
        </c:txPr>
        <c:crossAx val="593854922"/>
      </c:valAx>
    </c:plotArea>
    <c:legend>
      <c:legendPos val="r"/>
      <c:overlay val="0"/>
      <c:txPr>
        <a:bodyPr/>
        <a:lstStyle/>
        <a:p>
          <a:pPr lvl="0">
            <a:defRPr b="0">
              <a:solidFill>
                <a:srgbClr val="313131"/>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Chart9.png"/><Relationship Id="rId2" Type="http://schemas.openxmlformats.org/officeDocument/2006/relationships/chart" Target="../charts/chart1.xml"/><Relationship Id="rId3" Type="http://schemas.openxmlformats.org/officeDocument/2006/relationships/image" Target="../media/Chart13.png"/><Relationship Id="rId4" Type="http://schemas.openxmlformats.org/officeDocument/2006/relationships/image" Target="../media/Chart16.png"/><Relationship Id="rId10" Type="http://schemas.openxmlformats.org/officeDocument/2006/relationships/image" Target="../media/Chart22.png"/><Relationship Id="rId9" Type="http://schemas.openxmlformats.org/officeDocument/2006/relationships/image" Target="../media/Chart21.png"/><Relationship Id="rId5" Type="http://schemas.openxmlformats.org/officeDocument/2006/relationships/image" Target="../media/Chart17.png"/><Relationship Id="rId6" Type="http://schemas.openxmlformats.org/officeDocument/2006/relationships/image" Target="../media/Chart18.png"/><Relationship Id="rId7" Type="http://schemas.openxmlformats.org/officeDocument/2006/relationships/image" Target="../media/Chart19.png"/><Relationship Id="rId8" Type="http://schemas.openxmlformats.org/officeDocument/2006/relationships/image" Target="../media/Chart20.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 Id="rId4" Type="http://schemas.openxmlformats.org/officeDocument/2006/relationships/chart" Target="../charts/chart5.xml"/><Relationship Id="rId5" Type="http://schemas.openxmlformats.org/officeDocument/2006/relationships/image" Target="../media/Chart10.png"/><Relationship Id="rId6"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Relationship Id="rId3" Type="http://schemas.openxmlformats.org/officeDocument/2006/relationships/chart" Target="../charts/chart9.xml"/><Relationship Id="rId4" Type="http://schemas.openxmlformats.org/officeDocument/2006/relationships/image" Target="../media/Chart8.png"/><Relationship Id="rId5"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image" Target="../media/Chart1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171450</xdr:colOff>
      <xdr:row>1</xdr:row>
      <xdr:rowOff>38100</xdr:rowOff>
    </xdr:from>
    <xdr:ext cx="1800225" cy="742950"/>
    <xdr:pic>
      <xdr:nvPicPr>
        <xdr:cNvPr id="1910169352" name="Chart9"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352425</xdr:colOff>
      <xdr:row>19</xdr:row>
      <xdr:rowOff>85725</xdr:rowOff>
    </xdr:from>
    <xdr:ext cx="5724525" cy="3076575"/>
    <xdr:graphicFrame>
      <xdr:nvGraphicFramePr>
        <xdr:cNvPr id="11" name="Chart 11"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19</xdr:row>
      <xdr:rowOff>85725</xdr:rowOff>
    </xdr:from>
    <xdr:ext cx="5953125" cy="3076575"/>
    <xdr:pic>
      <xdr:nvPicPr>
        <xdr:cNvPr id="1524444257" name="Chart1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285750</xdr:colOff>
      <xdr:row>5</xdr:row>
      <xdr:rowOff>57150</xdr:rowOff>
    </xdr:from>
    <xdr:ext cx="3848100" cy="2752725"/>
    <xdr:pic>
      <xdr:nvPicPr>
        <xdr:cNvPr id="1144368511" name="Chart16"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895350</xdr:colOff>
      <xdr:row>1</xdr:row>
      <xdr:rowOff>38100</xdr:rowOff>
    </xdr:from>
    <xdr:ext cx="2038350" cy="742950"/>
    <xdr:pic>
      <xdr:nvPicPr>
        <xdr:cNvPr id="292518194" name="Chart17"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104775</xdr:colOff>
      <xdr:row>1</xdr:row>
      <xdr:rowOff>38100</xdr:rowOff>
    </xdr:from>
    <xdr:ext cx="2038350" cy="742950"/>
    <xdr:pic>
      <xdr:nvPicPr>
        <xdr:cNvPr id="43403864" name="Chart18"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10</xdr:col>
      <xdr:colOff>295275</xdr:colOff>
      <xdr:row>1</xdr:row>
      <xdr:rowOff>38100</xdr:rowOff>
    </xdr:from>
    <xdr:ext cx="1800225" cy="742950"/>
    <xdr:pic>
      <xdr:nvPicPr>
        <xdr:cNvPr id="1059349473" name="Chart19"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238125</xdr:colOff>
      <xdr:row>5</xdr:row>
      <xdr:rowOff>57150</xdr:rowOff>
    </xdr:from>
    <xdr:ext cx="3819525" cy="2752725"/>
    <xdr:pic>
      <xdr:nvPicPr>
        <xdr:cNvPr id="1581140294" name="Chart20" title="Chart">
          <a:extLst>
            <a:ext uri="GoogleSheetsCustomDataVersion1">
              <go:sheetsCustomData xmlns:go="http://customooxmlschemas.google.com/" pictureOfChart="1"/>
            </a:ext>
          </a:extLst>
        </xdr:cNvPr>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5</xdr:row>
      <xdr:rowOff>57150</xdr:rowOff>
    </xdr:from>
    <xdr:ext cx="3943350" cy="2752725"/>
    <xdr:pic>
      <xdr:nvPicPr>
        <xdr:cNvPr id="469034678" name="Chart21" title="Chart">
          <a:extLst>
            <a:ext uri="GoogleSheetsCustomDataVersion1">
              <go:sheetsCustomData xmlns:go="http://customooxmlschemas.google.com/" pictureOfChart="1"/>
            </a:ext>
          </a:extLst>
        </xdr:cNvPr>
        <xdr:cNvPicPr preferRelativeResize="0"/>
      </xdr:nvPicPr>
      <xdr:blipFill>
        <a:blip cstate="print" r:embed="rId9"/>
        <a:stretch>
          <a:fillRect/>
        </a:stretch>
      </xdr:blipFill>
      <xdr:spPr>
        <a:prstGeom prst="rect">
          <a:avLst/>
        </a:prstGeom>
        <a:noFill/>
      </xdr:spPr>
    </xdr:pic>
    <xdr:clientData fLocksWithSheet="0"/>
  </xdr:oneCellAnchor>
  <xdr:oneCellAnchor>
    <xdr:from>
      <xdr:col>8</xdr:col>
      <xdr:colOff>285750</xdr:colOff>
      <xdr:row>1</xdr:row>
      <xdr:rowOff>38100</xdr:rowOff>
    </xdr:from>
    <xdr:ext cx="1962150" cy="742950"/>
    <xdr:pic>
      <xdr:nvPicPr>
        <xdr:cNvPr id="7685352" name="Chart22" title="Chart">
          <a:extLst>
            <a:ext uri="GoogleSheetsCustomDataVersion1">
              <go:sheetsCustomData xmlns:go="http://customooxmlschemas.google.com/" pictureOfChart="1"/>
            </a:ext>
          </a:extLst>
        </xdr:cNvPr>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0</xdr:row>
      <xdr:rowOff>466725</xdr:rowOff>
    </xdr:from>
    <xdr:ext cx="1762125" cy="2857500"/>
    <mc:AlternateContent>
      <mc:Choice Requires="sle15">
        <xdr:graphicFrame>
          <xdr:nvGraphicFramePr>
            <xdr:cNvPr id="1" name="Column2_1"/>
            <xdr:cNvGraphicFramePr/>
          </xdr:nvGraphicFramePr>
          <xdr:xfrm>
            <a:off x="0" y="0"/>
            <a:ext cx="0" cy="0"/>
          </xdr:xfrm>
          <a:graphic>
            <a:graphicData uri="http://schemas.microsoft.com/office/drawing/2010/slicer">
              <x3Unk:slicer name="Column2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3</xdr:row>
      <xdr:rowOff>19050</xdr:rowOff>
    </xdr:from>
    <xdr:ext cx="1800225" cy="2857500"/>
    <mc:AlternateContent>
      <mc:Choice Requires="sle15">
        <xdr:graphicFrame>
          <xdr:nvGraphicFramePr>
            <xdr:cNvPr id="2" name="Column16_2"/>
            <xdr:cNvGraphicFramePr/>
          </xdr:nvGraphicFramePr>
          <xdr:xfrm>
            <a:off x="0" y="0"/>
            <a:ext cx="0" cy="0"/>
          </xdr:xfrm>
          <a:graphic>
            <a:graphicData uri="http://schemas.microsoft.com/office/drawing/2010/slicer">
              <x3Unk:slicer name="Column16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0</xdr:row>
      <xdr:rowOff>0</xdr:rowOff>
    </xdr:from>
    <xdr:ext cx="1762125" cy="2857500"/>
    <mc:AlternateContent>
      <mc:Choice Requires="sle15">
        <xdr:graphicFrame>
          <xdr:nvGraphicFramePr>
            <xdr:cNvPr id="3" name="Column20_3"/>
            <xdr:cNvGraphicFramePr/>
          </xdr:nvGraphicFramePr>
          <xdr:xfrm>
            <a:off x="0" y="0"/>
            <a:ext cx="0" cy="0"/>
          </xdr:xfrm>
          <a:graphic>
            <a:graphicData uri="http://schemas.microsoft.com/office/drawing/2010/slicer">
              <x3Unk:slicer name="Column20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2200275</xdr:colOff>
      <xdr:row>1</xdr:row>
      <xdr:rowOff>0</xdr:rowOff>
    </xdr:from>
    <xdr:ext cx="70866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314325</xdr:colOff>
      <xdr:row>31</xdr:row>
      <xdr:rowOff>9525</xdr:rowOff>
    </xdr:from>
    <xdr:ext cx="6096000" cy="2562225"/>
    <xdr:graphicFrame>
      <xdr:nvGraphicFramePr>
        <xdr:cNvPr id="4" name="Chart 4"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xdr:col>
      <xdr:colOff>361950</xdr:colOff>
      <xdr:row>1102</xdr:row>
      <xdr:rowOff>57150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2</xdr:col>
      <xdr:colOff>895350</xdr:colOff>
      <xdr:row>45</xdr:row>
      <xdr:rowOff>180975</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3</xdr:col>
      <xdr:colOff>419100</xdr:colOff>
      <xdr:row>78</xdr:row>
      <xdr:rowOff>85725</xdr:rowOff>
    </xdr:from>
    <xdr:ext cx="5229225" cy="3009900"/>
    <xdr:pic>
      <xdr:nvPicPr>
        <xdr:cNvPr id="1381105812" name="Chart10"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419100</xdr:colOff>
      <xdr:row>94</xdr:row>
      <xdr:rowOff>104775</xdr:rowOff>
    </xdr:from>
    <xdr:ext cx="7000875" cy="3533775"/>
    <xdr:graphicFrame>
      <xdr:nvGraphicFramePr>
        <xdr:cNvPr id="14" name="Chart 14"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266700</xdr:colOff>
      <xdr:row>33</xdr:row>
      <xdr:rowOff>123825</xdr:rowOff>
    </xdr:from>
    <xdr:ext cx="5400675" cy="24193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1543050</xdr:colOff>
      <xdr:row>47</xdr:row>
      <xdr:rowOff>142875</xdr:rowOff>
    </xdr:from>
    <xdr:ext cx="5943600" cy="2600325"/>
    <xdr:graphicFrame>
      <xdr:nvGraphicFramePr>
        <xdr:cNvPr id="3"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504825</xdr:colOff>
      <xdr:row>1</xdr:row>
      <xdr:rowOff>171450</xdr:rowOff>
    </xdr:from>
    <xdr:ext cx="5543550" cy="2609850"/>
    <xdr:graphicFrame>
      <xdr:nvGraphicFramePr>
        <xdr:cNvPr id="5" name="Chart 5"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485775</xdr:colOff>
      <xdr:row>17</xdr:row>
      <xdr:rowOff>9525</xdr:rowOff>
    </xdr:from>
    <xdr:ext cx="5581650" cy="2609850"/>
    <xdr:pic>
      <xdr:nvPicPr>
        <xdr:cNvPr id="480265206" name="Chart8"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1543050</xdr:colOff>
      <xdr:row>62</xdr:row>
      <xdr:rowOff>38100</xdr:rowOff>
    </xdr:from>
    <xdr:ext cx="5715000" cy="3533775"/>
    <xdr:graphicFrame>
      <xdr:nvGraphicFramePr>
        <xdr:cNvPr id="12" name="Chart 12"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895350</xdr:colOff>
      <xdr:row>0</xdr:row>
      <xdr:rowOff>57150</xdr:rowOff>
    </xdr:from>
    <xdr:ext cx="4581525" cy="2628900"/>
    <xdr:pic>
      <xdr:nvPicPr>
        <xdr:cNvPr id="624813591" name="Chart15"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Q1054" sheet="FNB Sales Dataset"/>
  </cacheSource>
  <cacheFields>
    <cacheField name="Date" numFmtId="164">
      <sharedItems containsSemiMixedTypes="0" containsDate="1" containsString="0">
        <d v="2013-12-30T00:00:00Z"/>
        <d v="2013-12-31T00:00:00Z"/>
        <d v="2014-01-01T00:00:00Z"/>
        <d v="2014-01-02T00:00:00Z"/>
        <d v="2014-01-03T00:00:00Z"/>
        <d v="2014-01-04T00:00:00Z"/>
        <d v="2014-01-05T00:00:00Z"/>
        <d v="2014-01-06T00:00:00Z"/>
        <d v="2014-01-07T00:00:00Z"/>
        <d v="2014-01-08T00:00:00Z"/>
        <d v="2014-01-09T00:00:00Z"/>
        <d v="2014-01-10T00:00:00Z"/>
        <d v="2014-01-11T00:00:00Z"/>
        <d v="2014-01-12T00:00:00Z"/>
        <d v="2014-01-13T00:00:00Z"/>
        <d v="2014-01-14T00:00:00Z"/>
        <d v="2014-01-15T00:00:00Z"/>
        <d v="2014-01-16T00:00:00Z"/>
        <d v="2014-01-17T00:00:00Z"/>
        <d v="2014-01-18T00:00:00Z"/>
        <d v="2014-01-19T00:00:00Z"/>
        <d v="2014-01-20T00:00:00Z"/>
        <d v="2014-01-21T00:00:00Z"/>
        <d v="2014-01-22T00:00:00Z"/>
        <d v="2014-01-23T00:00:00Z"/>
        <d v="2014-01-24T00:00:00Z"/>
        <d v="2014-01-25T00:00:00Z"/>
        <d v="2014-01-26T00:00:00Z"/>
        <d v="2014-01-27T00:00:00Z"/>
        <d v="2014-01-28T00:00:00Z"/>
        <d v="2014-01-29T00:00:00Z"/>
        <d v="2014-01-30T00:00:00Z"/>
        <d v="2014-01-31T00:00:00Z"/>
        <d v="2014-02-01T00:00:00Z"/>
        <d v="2014-02-02T00:00:00Z"/>
        <d v="2014-02-03T00:00:00Z"/>
        <d v="2014-02-04T00:00:00Z"/>
        <d v="2014-02-05T00:00:00Z"/>
        <d v="2014-02-06T00:00:00Z"/>
        <d v="2014-02-07T00:00:00Z"/>
        <d v="2014-02-08T00:00:00Z"/>
        <d v="2014-02-09T00:00:00Z"/>
        <d v="2014-02-10T00:00:00Z"/>
        <d v="2014-02-11T00:00:00Z"/>
        <d v="2014-02-12T00:00:00Z"/>
        <d v="2014-02-13T00:00:00Z"/>
        <d v="2014-02-14T00:00:00Z"/>
        <d v="2014-02-15T00:00:00Z"/>
        <d v="2014-02-16T00:00:00Z"/>
        <d v="2014-02-17T00:00:00Z"/>
        <d v="2014-02-18T00:00:00Z"/>
        <d v="2014-02-19T00:00:00Z"/>
        <d v="2014-02-20T00:00:00Z"/>
        <d v="2014-02-21T00:00:00Z"/>
        <d v="2014-02-22T00:00:00Z"/>
        <d v="2014-02-23T00:00:00Z"/>
        <d v="2014-02-24T00:00:00Z"/>
        <d v="2014-02-25T00:00:00Z"/>
        <d v="2014-02-26T00:00:00Z"/>
        <d v="2014-02-27T00:00:00Z"/>
        <d v="2014-02-28T00:00:00Z"/>
        <d v="2014-03-01T00:00:00Z"/>
        <d v="2014-03-02T00:00:00Z"/>
        <d v="2014-03-03T00:00:00Z"/>
        <d v="2014-03-04T00:00:00Z"/>
        <d v="2014-03-05T00:00:00Z"/>
        <d v="2014-03-06T00:00:00Z"/>
        <d v="2014-03-07T00:00:00Z"/>
        <d v="2014-03-08T00:00:00Z"/>
        <d v="2014-03-09T00:00:00Z"/>
        <d v="2014-03-10T00:00:00Z"/>
        <d v="2014-03-11T00:00:00Z"/>
        <d v="2014-03-12T00:00:00Z"/>
        <d v="2014-03-13T00:00:00Z"/>
        <d v="2014-03-14T00:00:00Z"/>
        <d v="2014-03-15T00:00:00Z"/>
        <d v="2014-03-16T00:00:00Z"/>
        <d v="2014-03-17T00:00:00Z"/>
        <d v="2014-03-18T00:00:00Z"/>
        <d v="2014-03-19T00:00:00Z"/>
        <d v="2014-03-20T00:00:00Z"/>
        <d v="2014-03-21T00:00:00Z"/>
        <d v="2014-03-22T00:00:00Z"/>
        <d v="2014-03-23T00:00:00Z"/>
        <d v="2014-03-24T00:00:00Z"/>
        <d v="2014-03-25T00:00:00Z"/>
        <d v="2014-03-26T00:00:00Z"/>
        <d v="2014-03-27T00:00:00Z"/>
        <d v="2014-03-28T00:00:00Z"/>
        <d v="2014-03-29T00:00:00Z"/>
        <d v="2014-03-30T00:00:00Z"/>
        <d v="2014-03-31T00:00:00Z"/>
        <d v="2014-04-01T00:00:00Z"/>
        <d v="2014-04-02T00:00:00Z"/>
        <d v="2014-04-03T00:00:00Z"/>
        <d v="2014-04-04T00:00:00Z"/>
        <d v="2014-04-05T00:00:00Z"/>
        <d v="2014-04-06T00:00:00Z"/>
        <d v="2014-04-07T00:00:00Z"/>
        <d v="2014-04-08T00:00:00Z"/>
        <d v="2014-04-09T00:00:00Z"/>
        <d v="2014-04-10T00:00:00Z"/>
        <d v="2014-04-11T00:00:00Z"/>
        <d v="2014-04-12T00:00:00Z"/>
        <d v="2014-04-13T00:00:00Z"/>
        <d v="2014-04-14T00:00:00Z"/>
        <d v="2014-04-15T00:00:00Z"/>
        <d v="2014-04-16T00:00:00Z"/>
        <d v="2014-04-17T00:00:00Z"/>
        <d v="2014-04-18T00:00:00Z"/>
        <d v="2014-04-19T00:00:00Z"/>
        <d v="2014-04-20T00:00:00Z"/>
        <d v="2014-04-21T00:00:00Z"/>
        <d v="2014-04-22T00:00:00Z"/>
        <d v="2014-04-23T00:00:00Z"/>
        <d v="2014-04-24T00:00:00Z"/>
        <d v="2014-04-25T00:00:00Z"/>
        <d v="2014-04-26T00:00:00Z"/>
        <d v="2014-04-27T00:00:00Z"/>
        <d v="2014-04-28T00:00:00Z"/>
        <d v="2014-04-29T00:00:00Z"/>
        <d v="2014-04-30T00:00:00Z"/>
        <d v="2014-05-01T00:00:00Z"/>
        <d v="2014-05-02T00:00:00Z"/>
        <d v="2014-05-03T00:00:00Z"/>
        <d v="2014-05-04T00:00:00Z"/>
        <d v="2014-05-05T00:00:00Z"/>
        <d v="2014-05-06T00:00:00Z"/>
        <d v="2014-05-07T00:00:00Z"/>
        <d v="2014-05-08T00:00:00Z"/>
        <d v="2014-05-09T00:00:00Z"/>
        <d v="2014-05-10T00:00:00Z"/>
        <d v="2014-05-11T00:00:00Z"/>
        <d v="2014-05-12T00:00:00Z"/>
        <d v="2014-05-13T00:00:00Z"/>
        <d v="2014-05-14T00:00:00Z"/>
        <d v="2014-05-15T00:00:00Z"/>
        <d v="2014-05-16T00:00:00Z"/>
        <d v="2014-05-17T00:00:00Z"/>
        <d v="2014-05-18T00:00:00Z"/>
        <d v="2014-05-19T00:00:00Z"/>
        <d v="2014-05-20T00:00:00Z"/>
        <d v="2014-05-21T00:00:00Z"/>
        <d v="2014-05-22T00:00:00Z"/>
        <d v="2014-05-23T00:00:00Z"/>
        <d v="2014-05-24T00:00:00Z"/>
        <d v="2014-05-25T00:00:00Z"/>
        <d v="2014-05-26T00:00:00Z"/>
        <d v="2014-05-27T00:00:00Z"/>
        <d v="2014-05-28T00:00:00Z"/>
        <d v="2014-05-29T00:00:00Z"/>
        <d v="2014-05-30T00:00:00Z"/>
        <d v="2014-05-31T00:00:00Z"/>
        <d v="2014-06-01T00:00:00Z"/>
        <d v="2014-06-02T00:00:00Z"/>
        <d v="2014-06-03T00:00:00Z"/>
        <d v="2014-06-04T00:00:00Z"/>
        <d v="2014-06-05T00:00:00Z"/>
        <d v="2014-06-06T00:00:00Z"/>
        <d v="2014-06-07T00:00:00Z"/>
        <d v="2014-06-08T00:00:00Z"/>
        <d v="2014-06-09T00:00:00Z"/>
        <d v="2014-06-10T00:00:00Z"/>
        <d v="2014-06-11T00:00:00Z"/>
        <d v="2014-06-12T00:00:00Z"/>
        <d v="2014-06-13T00:00:00Z"/>
        <d v="2014-06-14T00:00:00Z"/>
        <d v="2014-06-15T00:00:00Z"/>
        <d v="2014-06-16T00:00:00Z"/>
        <d v="2014-06-17T00:00:00Z"/>
        <d v="2014-06-18T00:00:00Z"/>
        <d v="2014-06-19T00:00:00Z"/>
        <d v="2014-06-20T00:00:00Z"/>
        <d v="2014-06-21T00:00:00Z"/>
        <d v="2014-06-22T00:00:00Z"/>
        <d v="2014-06-23T00:00:00Z"/>
        <d v="2014-06-24T00:00:00Z"/>
        <d v="2014-06-25T00:00:00Z"/>
        <d v="2014-06-26T00:00:00Z"/>
        <d v="2014-06-27T00:00:00Z"/>
        <d v="2014-06-28T00:00:00Z"/>
        <d v="2014-06-29T00:00:00Z"/>
        <d v="2014-06-30T00:00:00Z"/>
        <d v="2014-07-01T00:00:00Z"/>
        <d v="2014-07-02T00:00:00Z"/>
        <d v="2014-07-03T00:00:00Z"/>
        <d v="2014-07-04T00:00:00Z"/>
        <d v="2014-07-05T00:00:00Z"/>
        <d v="2014-07-06T00:00:00Z"/>
        <d v="2014-07-07T00:00:00Z"/>
        <d v="2014-07-08T00:00:00Z"/>
        <d v="2014-07-09T00:00:00Z"/>
        <d v="2014-07-10T00:00:00Z"/>
        <d v="2014-07-11T00:00:00Z"/>
        <d v="2014-07-12T00:00:00Z"/>
        <d v="2014-07-13T00:00:00Z"/>
        <d v="2014-07-14T00:00:00Z"/>
        <d v="2014-07-15T00:00:00Z"/>
        <d v="2014-07-16T00:00:00Z"/>
        <d v="2014-07-17T00:00:00Z"/>
        <d v="2014-07-18T00:00:00Z"/>
        <d v="2014-07-19T00:00:00Z"/>
        <d v="2014-07-20T00:00:00Z"/>
        <d v="2014-07-21T00:00:00Z"/>
        <d v="2014-07-22T00:00:00Z"/>
        <d v="2014-07-23T00:00:00Z"/>
        <d v="2014-07-24T00:00:00Z"/>
        <d v="2014-07-25T00:00:00Z"/>
        <d v="2014-07-26T00:00:00Z"/>
        <d v="2014-07-27T00:00:00Z"/>
        <d v="2014-07-28T00:00:00Z"/>
        <d v="2014-07-29T00:00:00Z"/>
        <d v="2014-07-30T00:00:00Z"/>
        <d v="2014-07-31T00:00:00Z"/>
        <d v="2014-08-01T00:00:00Z"/>
        <d v="2014-08-02T00:00:00Z"/>
        <d v="2014-08-03T00:00:00Z"/>
        <d v="2014-08-04T00:00:00Z"/>
        <d v="2014-08-05T00:00:00Z"/>
        <d v="2014-08-06T00:00:00Z"/>
        <d v="2014-08-07T00:00:00Z"/>
        <d v="2014-08-08T00:00:00Z"/>
        <d v="2014-08-09T00:00:00Z"/>
        <d v="2014-08-10T00:00:00Z"/>
        <d v="2014-08-11T00:00:00Z"/>
        <d v="2014-08-12T00:00:00Z"/>
        <d v="2014-08-13T00:00:00Z"/>
        <d v="2014-08-14T00:00:00Z"/>
        <d v="2014-08-15T00:00:00Z"/>
        <d v="2014-08-16T00:00:00Z"/>
        <d v="2014-08-17T00:00:00Z"/>
        <d v="2014-08-18T00:00:00Z"/>
        <d v="2014-08-19T00:00:00Z"/>
        <d v="2014-08-20T00:00:00Z"/>
        <d v="2014-08-21T00:00:00Z"/>
        <d v="2014-08-22T00:00:00Z"/>
        <d v="2014-08-23T00:00:00Z"/>
        <d v="2014-08-24T00:00:00Z"/>
        <d v="2014-08-25T00:00:00Z"/>
        <d v="2014-08-26T00:00:00Z"/>
        <d v="2014-08-27T00:00:00Z"/>
        <d v="2014-08-28T00:00:00Z"/>
        <d v="2014-08-29T00:00:00Z"/>
        <d v="2014-08-30T00:00:00Z"/>
        <d v="2014-08-31T00:00:00Z"/>
        <d v="2014-09-01T00:00:00Z"/>
        <d v="2014-09-02T00:00:00Z"/>
        <d v="2014-09-03T00:00:00Z"/>
        <d v="2014-09-04T00:00:00Z"/>
        <d v="2014-09-05T00:00:00Z"/>
        <d v="2014-09-06T00:00:00Z"/>
        <d v="2014-09-07T00:00:00Z"/>
        <d v="2014-09-08T00:00:00Z"/>
        <d v="2014-09-09T00:00:00Z"/>
        <d v="2014-09-10T00:00:00Z"/>
        <d v="2014-09-11T00:00:00Z"/>
        <d v="2014-09-12T00:00:00Z"/>
        <d v="2014-09-13T00:00:00Z"/>
        <d v="2014-09-14T00:00:00Z"/>
        <d v="2014-09-15T00:00:00Z"/>
        <d v="2014-09-16T00:00:00Z"/>
        <d v="2014-09-17T00:00:00Z"/>
        <d v="2014-09-18T00:00:00Z"/>
        <d v="2014-09-19T00:00:00Z"/>
        <d v="2014-09-20T00:00:00Z"/>
        <d v="2014-09-21T00:00:00Z"/>
        <d v="2014-09-22T00:00:00Z"/>
        <d v="2014-09-23T00:00:00Z"/>
        <d v="2014-09-24T00:00:00Z"/>
        <d v="2014-09-25T00:00:00Z"/>
        <d v="2014-09-26T00:00:00Z"/>
        <d v="2014-09-27T00:00:00Z"/>
        <d v="2014-09-28T00:00:00Z"/>
        <d v="2014-09-29T00:00:00Z"/>
        <d v="2014-09-30T00:00:00Z"/>
        <d v="2014-10-01T00:00:00Z"/>
        <d v="2014-10-02T00:00:00Z"/>
        <d v="2014-10-03T00:00:00Z"/>
        <d v="2014-10-04T00:00:00Z"/>
        <d v="2014-10-05T00:00:00Z"/>
        <d v="2014-10-06T00:00:00Z"/>
        <d v="2014-10-07T00:00:00Z"/>
        <d v="2014-10-08T00:00:00Z"/>
        <d v="2014-10-09T00:00:00Z"/>
        <d v="2014-10-10T00:00:00Z"/>
        <d v="2014-10-11T00:00:00Z"/>
        <d v="2014-10-12T00:00:00Z"/>
        <d v="2014-10-13T00:00:00Z"/>
        <d v="2014-10-14T00:00:00Z"/>
        <d v="2014-10-15T00:00:00Z"/>
        <d v="2014-10-16T00:00:00Z"/>
        <d v="2014-10-17T00:00:00Z"/>
        <d v="2014-10-18T00:00:00Z"/>
        <d v="2014-10-19T00:00:00Z"/>
        <d v="2014-10-20T00:00:00Z"/>
        <d v="2014-10-21T00:00:00Z"/>
        <d v="2014-10-22T00:00:00Z"/>
        <d v="2014-10-23T00:00:00Z"/>
        <d v="2014-10-24T00:00:00Z"/>
        <d v="2014-10-25T00:00:00Z"/>
        <d v="2014-10-26T00:00:00Z"/>
        <d v="2014-10-27T00:00:00Z"/>
        <d v="2014-10-28T00:00:00Z"/>
        <d v="2014-10-29T00:00:00Z"/>
        <d v="2014-10-30T00:00:00Z"/>
        <d v="2014-10-31T00:00:00Z"/>
        <d v="2014-11-01T00:00:00Z"/>
        <d v="2014-11-02T00:00:00Z"/>
        <d v="2014-11-03T00:00:00Z"/>
        <d v="2014-11-04T00:00:00Z"/>
        <d v="2014-11-05T00:00:00Z"/>
        <d v="2014-11-06T00:00:00Z"/>
        <d v="2014-11-07T00:00:00Z"/>
        <d v="2014-11-08T00:00:00Z"/>
        <d v="2014-11-09T00:00:00Z"/>
        <d v="2014-11-10T00:00:00Z"/>
        <d v="2014-11-11T00:00:00Z"/>
        <d v="2014-11-12T00:00:00Z"/>
        <d v="2014-11-13T00:00:00Z"/>
        <d v="2014-11-14T00:00:00Z"/>
        <d v="2014-11-15T00:00:00Z"/>
        <d v="2014-11-16T00:00:00Z"/>
        <d v="2014-11-17T00:00:00Z"/>
        <d v="2014-11-18T00:00:00Z"/>
        <d v="2014-11-19T00:00:00Z"/>
        <d v="2014-11-20T00:00:00Z"/>
        <d v="2014-11-21T00:00:00Z"/>
        <d v="2014-11-22T00:00:00Z"/>
        <d v="2014-11-23T00:00:00Z"/>
        <d v="2014-11-24T00:00:00Z"/>
        <d v="2014-11-25T00:00:00Z"/>
        <d v="2014-11-26T00:00:00Z"/>
        <d v="2014-11-27T00:00:00Z"/>
        <d v="2014-11-28T00:00:00Z"/>
        <d v="2014-11-29T00:00:00Z"/>
        <d v="2014-11-30T00:00:00Z"/>
        <d v="2014-12-01T00:00:00Z"/>
        <d v="2014-12-02T00:00:00Z"/>
        <d v="2014-12-03T00:00:00Z"/>
        <d v="2014-12-04T00:00:00Z"/>
        <d v="2014-12-05T00:00:00Z"/>
        <d v="2014-12-06T00:00:00Z"/>
        <d v="2014-12-07T00:00:00Z"/>
        <d v="2014-12-08T00:00:00Z"/>
        <d v="2014-12-09T00:00:00Z"/>
        <d v="2014-12-10T00:00:00Z"/>
        <d v="2014-12-11T00:00:00Z"/>
        <d v="2014-12-12T00:00:00Z"/>
        <d v="2014-12-13T00:00:00Z"/>
        <d v="2014-12-14T00:00:00Z"/>
        <d v="2014-12-15T00:00:00Z"/>
        <d v="2014-12-16T00:00:00Z"/>
        <d v="2014-12-17T00:00:00Z"/>
        <d v="2014-12-18T00:00:00Z"/>
        <d v="2014-12-19T00:00:00Z"/>
        <d v="2014-12-20T00:00:00Z"/>
        <d v="2014-12-21T00:00:00Z"/>
        <d v="2014-12-22T00:00:00Z"/>
        <d v="2014-12-23T00:00:00Z"/>
        <d v="2014-12-24T00:00:00Z"/>
        <d v="2014-12-25T00:00:00Z"/>
        <d v="2014-12-26T00:00:00Z"/>
        <d v="2014-12-27T00:00:00Z"/>
        <d v="2014-12-28T00:00:00Z"/>
        <d v="2014-12-29T00:00:00Z"/>
        <d v="2014-12-30T00:00:00Z"/>
        <d v="2014-12-31T00:00:00Z"/>
        <d v="2015-01-01T00:00:00Z"/>
        <d v="2015-01-02T00:00:00Z"/>
        <d v="2015-01-03T00:00:00Z"/>
        <d v="2015-01-04T00:00:00Z"/>
        <d v="2015-01-05T00:00:00Z"/>
        <d v="2015-01-06T00:00:00Z"/>
        <d v="2015-01-07T00:00:00Z"/>
        <d v="2015-01-08T00:00:00Z"/>
        <d v="2015-01-09T00:00:00Z"/>
        <d v="2015-01-10T00:00:00Z"/>
        <d v="2015-01-11T00:00:00Z"/>
        <d v="2015-01-12T00:00:00Z"/>
        <d v="2015-01-13T00:00:00Z"/>
        <d v="2015-01-14T00:00:00Z"/>
        <d v="2015-01-15T00:00:00Z"/>
        <d v="2015-01-16T00:00:00Z"/>
        <d v="2015-01-17T00:00:00Z"/>
        <d v="2015-01-18T00:00:00Z"/>
        <d v="2015-01-19T00:00:00Z"/>
        <d v="2015-01-20T00:00:00Z"/>
        <d v="2015-01-21T00:00:00Z"/>
        <d v="2015-01-22T00:00:00Z"/>
        <d v="2015-01-23T00:00:00Z"/>
        <d v="2015-01-24T00:00:00Z"/>
        <d v="2015-01-25T00:00:00Z"/>
        <d v="2015-01-26T00:00:00Z"/>
        <d v="2015-01-27T00:00:00Z"/>
        <d v="2015-01-28T00:00:00Z"/>
        <d v="2015-01-29T00:00:00Z"/>
        <d v="2015-01-30T00:00:00Z"/>
        <d v="2015-01-31T00:00:00Z"/>
        <d v="2015-02-01T00:00:00Z"/>
        <d v="2015-02-02T00:00:00Z"/>
        <d v="2015-02-03T00:00:00Z"/>
        <d v="2015-02-04T00:00:00Z"/>
        <d v="2015-02-05T00:00:00Z"/>
        <d v="2015-02-06T00:00:00Z"/>
        <d v="2015-02-07T00:00:00Z"/>
        <d v="2015-02-08T00:00:00Z"/>
        <d v="2015-02-09T00:00:00Z"/>
        <d v="2015-02-10T00:00:00Z"/>
        <d v="2015-02-11T00:00:00Z"/>
        <d v="2015-02-12T00:00:00Z"/>
        <d v="2015-02-13T00:00:00Z"/>
        <d v="2015-02-14T00:00:00Z"/>
        <d v="2015-02-15T00:00:00Z"/>
        <d v="2015-02-16T00:00:00Z"/>
        <d v="2015-02-17T00:00:00Z"/>
        <d v="2015-02-18T00:00:00Z"/>
        <d v="2015-02-19T00:00:00Z"/>
        <d v="2015-02-20T00:00:00Z"/>
        <d v="2015-02-21T00:00:00Z"/>
        <d v="2015-02-22T00:00:00Z"/>
        <d v="2015-02-23T00:00:00Z"/>
        <d v="2015-02-24T00:00:00Z"/>
        <d v="2015-02-25T00:00:00Z"/>
        <d v="2015-02-26T00:00:00Z"/>
        <d v="2015-02-27T00:00:00Z"/>
        <d v="2015-02-28T00:00:00Z"/>
        <d v="2015-03-01T00:00:00Z"/>
        <d v="2015-03-02T00:00:00Z"/>
        <d v="2015-03-03T00:00:00Z"/>
        <d v="2015-03-04T00:00:00Z"/>
        <d v="2015-03-05T00:00:00Z"/>
        <d v="2015-03-06T00:00:00Z"/>
        <d v="2015-03-07T00:00:00Z"/>
        <d v="2015-03-08T00:00:00Z"/>
        <d v="2015-03-09T00:00:00Z"/>
        <d v="2015-03-10T00:00:00Z"/>
        <d v="2015-03-11T00:00:00Z"/>
        <d v="2015-03-12T00:00:00Z"/>
        <d v="2015-03-13T00:00:00Z"/>
        <d v="2015-03-14T00:00:00Z"/>
        <d v="2015-03-15T00:00:00Z"/>
        <d v="2015-03-16T00:00:00Z"/>
        <d v="2015-03-17T00:00:00Z"/>
        <d v="2015-03-18T00:00:00Z"/>
        <d v="2015-03-19T00:00:00Z"/>
        <d v="2015-03-20T00:00:00Z"/>
        <d v="2015-03-21T00:00:00Z"/>
        <d v="2015-03-22T00:00:00Z"/>
        <d v="2015-03-23T00:00:00Z"/>
        <d v="2015-03-24T00:00:00Z"/>
        <d v="2015-03-25T00:00:00Z"/>
        <d v="2015-03-26T00:00:00Z"/>
        <d v="2015-03-27T00:00:00Z"/>
        <d v="2015-03-28T00:00:00Z"/>
        <d v="2015-03-29T00:00:00Z"/>
        <d v="2015-03-30T00:00:00Z"/>
        <d v="2015-03-31T00:00:00Z"/>
        <d v="2015-04-01T00:00:00Z"/>
        <d v="2015-04-02T00:00:00Z"/>
        <d v="2015-04-03T00:00:00Z"/>
        <d v="2015-04-04T00:00:00Z"/>
        <d v="2015-04-05T00:00:00Z"/>
        <d v="2015-04-06T00:00:00Z"/>
        <d v="2015-04-07T00:00:00Z"/>
        <d v="2015-04-08T00:00:00Z"/>
        <d v="2015-04-09T00:00:00Z"/>
        <d v="2015-04-10T00:00:00Z"/>
        <d v="2015-04-11T00:00:00Z"/>
        <d v="2015-04-12T00:00:00Z"/>
        <d v="2015-04-13T00:00:00Z"/>
        <d v="2015-04-14T00:00:00Z"/>
        <d v="2015-04-15T00:00:00Z"/>
        <d v="2015-04-16T00:00:00Z"/>
        <d v="2015-04-17T00:00:00Z"/>
        <d v="2015-04-18T00:00:00Z"/>
        <d v="2015-04-19T00:00:00Z"/>
        <d v="2015-04-20T00:00:00Z"/>
        <d v="2015-04-21T00:00:00Z"/>
        <d v="2015-04-22T00:00:00Z"/>
        <d v="2015-04-23T00:00:00Z"/>
        <d v="2015-04-24T00:00:00Z"/>
        <d v="2015-04-25T00:00:00Z"/>
        <d v="2015-04-26T00:00:00Z"/>
        <d v="2015-04-27T00:00:00Z"/>
        <d v="2015-04-28T00:00:00Z"/>
        <d v="2015-04-29T00:00:00Z"/>
        <d v="2015-04-30T00:00:00Z"/>
        <d v="2015-05-01T00:00:00Z"/>
        <d v="2015-05-02T00:00:00Z"/>
        <d v="2015-05-03T00:00:00Z"/>
        <d v="2015-05-04T00:00:00Z"/>
        <d v="2015-05-05T00:00:00Z"/>
        <d v="2015-05-06T00:00:00Z"/>
        <d v="2015-05-07T00:00:00Z"/>
        <d v="2015-05-08T00:00:00Z"/>
        <d v="2015-05-09T00:00:00Z"/>
        <d v="2015-05-10T00:00:00Z"/>
        <d v="2015-05-11T00:00:00Z"/>
        <d v="2015-05-12T00:00:00Z"/>
        <d v="2015-05-13T00:00:00Z"/>
        <d v="2015-05-14T00:00:00Z"/>
        <d v="2015-05-15T00:00:00Z"/>
        <d v="2015-05-16T00:00:00Z"/>
        <d v="2015-05-17T00:00:00Z"/>
        <d v="2015-05-18T00:00:00Z"/>
        <d v="2015-05-19T00:00:00Z"/>
        <d v="2015-05-20T00:00:00Z"/>
        <d v="2015-05-21T00:00:00Z"/>
        <d v="2015-05-22T00:00:00Z"/>
        <d v="2015-05-23T00:00:00Z"/>
        <d v="2015-05-24T00:00:00Z"/>
        <d v="2015-05-25T00:00:00Z"/>
        <d v="2015-05-26T00:00:00Z"/>
        <d v="2015-05-27T00:00:00Z"/>
        <d v="2015-05-28T00:00:00Z"/>
        <d v="2015-05-29T00:00:00Z"/>
        <d v="2015-05-30T00:00:00Z"/>
        <d v="2015-05-31T00:00:00Z"/>
        <d v="2015-06-01T00:00:00Z"/>
        <d v="2015-06-02T00:00:00Z"/>
        <d v="2015-06-03T00:00:00Z"/>
        <d v="2015-06-04T00:00:00Z"/>
        <d v="2015-06-05T00:00:00Z"/>
        <d v="2015-06-06T00:00:00Z"/>
        <d v="2015-06-07T00:00:00Z"/>
        <d v="2015-06-08T00:00:00Z"/>
        <d v="2015-06-09T00:00:00Z"/>
        <d v="2015-06-10T00:00:00Z"/>
        <d v="2015-06-11T00:00:00Z"/>
        <d v="2015-06-12T00:00:00Z"/>
        <d v="2015-06-13T00:00:00Z"/>
        <d v="2015-06-14T00:00:00Z"/>
        <d v="2015-06-15T00:00:00Z"/>
        <d v="2015-06-16T00:00:00Z"/>
        <d v="2015-06-17T00:00:00Z"/>
        <d v="2015-06-18T00:00:00Z"/>
        <d v="2015-06-19T00:00:00Z"/>
        <d v="2015-06-20T00:00:00Z"/>
        <d v="2015-06-21T00:00:00Z"/>
        <d v="2015-06-22T00:00:00Z"/>
        <d v="2015-06-23T00:00:00Z"/>
        <d v="2015-06-24T00:00:00Z"/>
        <d v="2015-06-25T00:00:00Z"/>
        <d v="2015-06-26T00:00:00Z"/>
        <d v="2015-06-27T00:00:00Z"/>
        <d v="2015-06-28T00:00:00Z"/>
        <d v="2015-06-29T00:00:00Z"/>
        <d v="2015-06-30T00:00:00Z"/>
        <d v="2015-07-01T00:00:00Z"/>
        <d v="2015-07-02T00:00:00Z"/>
        <d v="2015-07-03T00:00:00Z"/>
        <d v="2015-07-04T00:00:00Z"/>
        <d v="2015-07-05T00:00:00Z"/>
        <d v="2015-07-06T00:00:00Z"/>
        <d v="2015-07-07T00:00:00Z"/>
        <d v="2015-07-08T00:00:00Z"/>
        <d v="2015-07-09T00:00:00Z"/>
        <d v="2015-07-10T00:00:00Z"/>
        <d v="2015-07-11T00:00:00Z"/>
        <d v="2015-07-12T00:00:00Z"/>
        <d v="2015-07-13T00:00:00Z"/>
        <d v="2015-07-14T00:00:00Z"/>
        <d v="2015-07-15T00:00:00Z"/>
        <d v="2015-07-16T00:00:00Z"/>
        <d v="2015-07-17T00:00:00Z"/>
        <d v="2015-07-18T00:00:00Z"/>
        <d v="2015-07-19T00:00:00Z"/>
        <d v="2015-07-20T00:00:00Z"/>
        <d v="2015-07-21T00:00:00Z"/>
        <d v="2015-07-22T00:00:00Z"/>
        <d v="2015-07-23T00:00:00Z"/>
        <d v="2015-07-24T00:00:00Z"/>
        <d v="2015-07-25T00:00:00Z"/>
        <d v="2015-07-26T00:00:00Z"/>
        <d v="2015-07-27T00:00:00Z"/>
        <d v="2015-07-28T00:00:00Z"/>
        <d v="2015-07-29T00:00:00Z"/>
        <d v="2015-07-30T00:00:00Z"/>
        <d v="2015-07-31T00:00:00Z"/>
        <d v="2015-08-01T00:00:00Z"/>
        <d v="2015-08-02T00:00:00Z"/>
        <d v="2015-08-03T00:00:00Z"/>
        <d v="2015-08-04T00:00:00Z"/>
        <d v="2015-08-05T00:00:00Z"/>
        <d v="2015-08-06T00:00:00Z"/>
        <d v="2015-08-07T00:00:00Z"/>
        <d v="2015-08-08T00:00:00Z"/>
        <d v="2015-08-09T00:00:00Z"/>
        <d v="2015-08-10T00:00:00Z"/>
        <d v="2015-08-11T00:00:00Z"/>
        <d v="2015-08-12T00:00:00Z"/>
        <d v="2015-08-13T00:00:00Z"/>
        <d v="2015-08-14T00:00:00Z"/>
        <d v="2015-08-15T00:00:00Z"/>
        <d v="2015-08-16T00:00:00Z"/>
        <d v="2015-08-17T00:00:00Z"/>
        <d v="2015-08-18T00:00:00Z"/>
        <d v="2015-08-19T00:00:00Z"/>
        <d v="2015-08-20T00:00:00Z"/>
        <d v="2015-08-21T00:00:00Z"/>
        <d v="2015-08-22T00:00:00Z"/>
        <d v="2015-08-23T00:00:00Z"/>
        <d v="2015-08-24T00:00:00Z"/>
        <d v="2015-08-25T00:00:00Z"/>
        <d v="2015-08-26T00:00:00Z"/>
        <d v="2015-08-27T00:00:00Z"/>
        <d v="2015-08-28T00:00:00Z"/>
        <d v="2015-08-29T00:00:00Z"/>
        <d v="2015-08-30T00:00:00Z"/>
        <d v="2015-08-31T00:00:00Z"/>
        <d v="2015-09-01T00:00:00Z"/>
        <d v="2015-09-02T00:00:00Z"/>
        <d v="2015-09-03T00:00:00Z"/>
        <d v="2015-09-04T00:00:00Z"/>
        <d v="2015-09-05T00:00:00Z"/>
        <d v="2015-09-06T00:00:00Z"/>
        <d v="2015-09-07T00:00:00Z"/>
        <d v="2015-09-08T00:00:00Z"/>
        <d v="2015-09-09T00:00:00Z"/>
        <d v="2015-09-10T00:00:00Z"/>
        <d v="2015-09-11T00:00:00Z"/>
        <d v="2015-09-12T00:00:00Z"/>
        <d v="2015-09-13T00:00:00Z"/>
        <d v="2015-09-14T00:00:00Z"/>
        <d v="2015-09-15T00:00:00Z"/>
        <d v="2015-09-16T00:00:00Z"/>
        <d v="2015-09-17T00:00:00Z"/>
        <d v="2015-09-18T00:00:00Z"/>
        <d v="2015-09-19T00:00:00Z"/>
        <d v="2015-09-20T00:00:00Z"/>
        <d v="2015-09-21T00:00:00Z"/>
        <d v="2015-09-22T00:00:00Z"/>
        <d v="2015-09-23T00:00:00Z"/>
        <d v="2015-09-24T00:00:00Z"/>
        <d v="2015-09-25T00:00:00Z"/>
        <d v="2015-09-26T00:00:00Z"/>
        <d v="2015-09-27T00:00:00Z"/>
        <d v="2015-09-28T00:00:00Z"/>
        <d v="2015-09-29T00:00:00Z"/>
        <d v="2015-09-30T00:00:00Z"/>
        <d v="2015-10-01T00:00:00Z"/>
        <d v="2015-10-02T00:00:00Z"/>
        <d v="2015-10-03T00:00:00Z"/>
        <d v="2015-10-04T00:00:00Z"/>
        <d v="2015-10-05T00:00:00Z"/>
        <d v="2015-10-06T00:00:00Z"/>
        <d v="2015-10-07T00:00:00Z"/>
        <d v="2015-10-08T00:00:00Z"/>
        <d v="2015-10-09T00:00:00Z"/>
        <d v="2015-10-10T00:00:00Z"/>
        <d v="2015-10-11T00:00:00Z"/>
        <d v="2015-10-12T00:00:00Z"/>
        <d v="2015-10-13T00:00:00Z"/>
        <d v="2015-10-14T00:00:00Z"/>
        <d v="2015-10-15T00:00:00Z"/>
        <d v="2015-10-16T00:00:00Z"/>
        <d v="2015-10-17T00:00:00Z"/>
        <d v="2015-10-18T00:00:00Z"/>
        <d v="2015-10-19T00:00:00Z"/>
        <d v="2015-10-20T00:00:00Z"/>
        <d v="2015-10-21T00:00:00Z"/>
        <d v="2015-10-22T00:00:00Z"/>
        <d v="2015-10-23T00:00:00Z"/>
        <d v="2015-10-24T00:00:00Z"/>
        <d v="2015-10-25T00:00:00Z"/>
        <d v="2015-10-26T00:00:00Z"/>
        <d v="2015-10-27T00:00:00Z"/>
        <d v="2015-10-28T00:00:00Z"/>
        <d v="2015-10-29T00:00:00Z"/>
        <d v="2015-10-30T00:00:00Z"/>
        <d v="2015-10-31T00:00:00Z"/>
        <d v="2015-11-01T00:00:00Z"/>
        <d v="2015-11-02T00:00:00Z"/>
        <d v="2015-11-03T00:00:00Z"/>
        <d v="2015-11-04T00:00:00Z"/>
        <d v="2015-11-05T00:00:00Z"/>
        <d v="2015-11-06T00:00:00Z"/>
        <d v="2015-11-07T00:00:00Z"/>
        <d v="2015-11-08T00:00:00Z"/>
        <d v="2015-11-09T00:00:00Z"/>
        <d v="2015-11-10T00:00:00Z"/>
        <d v="2015-11-11T00:00:00Z"/>
        <d v="2015-11-12T00:00:00Z"/>
        <d v="2015-11-13T00:00:00Z"/>
        <d v="2015-11-14T00:00:00Z"/>
        <d v="2015-11-15T00:00:00Z"/>
        <d v="2015-11-16T00:00:00Z"/>
        <d v="2015-11-17T00:00:00Z"/>
        <d v="2015-11-18T00:00:00Z"/>
        <d v="2015-11-19T00:00:00Z"/>
        <d v="2015-11-20T00:00:00Z"/>
        <d v="2015-11-21T00:00:00Z"/>
        <d v="2015-11-22T00:00:00Z"/>
        <d v="2015-11-23T00:00:00Z"/>
        <d v="2015-11-24T00:00:00Z"/>
        <d v="2015-11-25T00:00:00Z"/>
        <d v="2015-11-26T00:00:00Z"/>
        <d v="2015-11-27T00:00:00Z"/>
        <d v="2015-11-28T00:00:00Z"/>
        <d v="2015-11-29T00:00:00Z"/>
        <d v="2015-11-30T00:00:00Z"/>
        <d v="2015-12-01T00:00:00Z"/>
        <d v="2015-12-02T00:00:00Z"/>
        <d v="2015-12-03T00:00:00Z"/>
        <d v="2015-12-04T00:00:00Z"/>
        <d v="2015-12-05T00:00:00Z"/>
        <d v="2015-12-06T00:00:00Z"/>
        <d v="2015-12-07T00:00:00Z"/>
        <d v="2015-12-08T00:00:00Z"/>
        <d v="2015-12-09T00:00:00Z"/>
        <d v="2015-12-10T00:00:00Z"/>
        <d v="2015-12-11T00:00:00Z"/>
        <d v="2015-12-12T00:00:00Z"/>
        <d v="2015-12-13T00:00:00Z"/>
        <d v="2015-12-14T00:00:00Z"/>
        <d v="2015-12-15T00:00:00Z"/>
        <d v="2015-12-16T00:00:00Z"/>
        <d v="2015-12-17T00:00:00Z"/>
        <d v="2015-12-18T00:00:00Z"/>
        <d v="2015-12-19T00:00:00Z"/>
        <d v="2015-12-20T00:00:00Z"/>
        <d v="2015-12-21T00:00:00Z"/>
        <d v="2015-12-22T00:00:00Z"/>
        <d v="2015-12-23T00:00:00Z"/>
        <d v="2015-12-24T00:00:00Z"/>
        <d v="2015-12-25T00:00:00Z"/>
        <d v="2015-12-26T00:00:00Z"/>
        <d v="2015-12-27T00:00:00Z"/>
        <d v="2015-12-28T00:00:00Z"/>
        <d v="2015-12-29T00:00:00Z"/>
        <d v="2015-12-30T00:00:00Z"/>
        <d v="2015-12-31T00:00:00Z"/>
        <d v="2016-01-01T00:00:00Z"/>
        <d v="2016-01-02T00:00:00Z"/>
        <d v="2016-01-03T00:00:00Z"/>
        <d v="2016-01-04T00:00:00Z"/>
        <d v="2016-01-05T00:00:00Z"/>
        <d v="2016-01-06T00:00:00Z"/>
        <d v="2016-01-07T00:00:00Z"/>
        <d v="2016-01-08T00:00:00Z"/>
        <d v="2016-01-09T00:00:00Z"/>
        <d v="2016-01-10T00:00:00Z"/>
        <d v="2016-01-11T00:00:00Z"/>
        <d v="2016-01-12T00:00:00Z"/>
        <d v="2016-01-13T00:00:00Z"/>
        <d v="2016-01-14T00:00:00Z"/>
        <d v="2016-01-15T00:00:00Z"/>
        <d v="2016-01-16T00:00:00Z"/>
        <d v="2016-01-17T00:00:00Z"/>
        <d v="2016-01-18T00:00:00Z"/>
        <d v="2016-01-19T00:00:00Z"/>
        <d v="2016-01-20T00:00:00Z"/>
        <d v="2016-01-21T00:00:00Z"/>
        <d v="2016-01-22T00:00:00Z"/>
        <d v="2016-01-23T00:00:00Z"/>
        <d v="2016-01-24T00:00:00Z"/>
        <d v="2016-01-25T00:00:00Z"/>
        <d v="2016-01-26T00:00:00Z"/>
        <d v="2016-01-27T00:00:00Z"/>
        <d v="2016-01-28T00:00:00Z"/>
        <d v="2016-01-29T00:00:00Z"/>
        <d v="2016-01-30T00:00:00Z"/>
        <d v="2016-01-31T00:00:00Z"/>
        <d v="2016-02-01T00:00:00Z"/>
        <d v="2016-02-02T00:00:00Z"/>
        <d v="2016-02-03T00:00:00Z"/>
        <d v="2016-02-04T00:00:00Z"/>
        <d v="2016-02-05T00:00:00Z"/>
        <d v="2016-02-06T00:00:00Z"/>
        <d v="2016-02-07T00:00:00Z"/>
        <d v="2016-02-08T00:00:00Z"/>
        <d v="2016-02-09T00:00:00Z"/>
        <d v="2016-02-10T00:00:00Z"/>
        <d v="2016-02-11T00:00:00Z"/>
        <d v="2016-02-12T00:00:00Z"/>
        <d v="2016-02-13T00:00:00Z"/>
        <d v="2016-02-14T00:00:00Z"/>
        <d v="2016-02-15T00:00:00Z"/>
        <d v="2016-02-16T00:00:00Z"/>
        <d v="2016-02-17T00:00:00Z"/>
        <d v="2016-02-18T00:00:00Z"/>
        <d v="2016-02-19T00:00:00Z"/>
        <d v="2016-02-20T00:00:00Z"/>
        <d v="2016-02-21T00:00:00Z"/>
        <d v="2016-02-22T00:00:00Z"/>
        <d v="2016-02-23T00:00:00Z"/>
        <d v="2016-02-24T00:00:00Z"/>
        <d v="2016-02-25T00:00:00Z"/>
        <d v="2016-02-26T00:00:00Z"/>
        <d v="2016-02-27T00:00:00Z"/>
        <d v="2016-02-28T00:00:00Z"/>
        <d v="2016-02-29T00:00:00Z"/>
        <d v="2016-03-01T00:00:00Z"/>
        <d v="2016-03-02T00:00:00Z"/>
        <d v="2016-03-03T00:00:00Z"/>
        <d v="2016-03-04T00:00:00Z"/>
        <d v="2016-03-05T00:00:00Z"/>
        <d v="2016-03-06T00:00:00Z"/>
        <d v="2016-03-07T00:00:00Z"/>
        <d v="2016-03-08T00:00:00Z"/>
        <d v="2016-03-09T00:00:00Z"/>
        <d v="2016-03-10T00:00:00Z"/>
        <d v="2016-03-11T00:00:00Z"/>
        <d v="2016-03-12T00:00:00Z"/>
        <d v="2016-03-13T00:00:00Z"/>
        <d v="2016-03-14T00:00:00Z"/>
        <d v="2016-03-15T00:00:00Z"/>
        <d v="2016-03-16T00:00:00Z"/>
        <d v="2016-03-17T00:00:00Z"/>
        <d v="2016-03-18T00:00:00Z"/>
        <d v="2016-03-19T00:00:00Z"/>
        <d v="2016-03-20T00:00:00Z"/>
        <d v="2016-03-21T00:00:00Z"/>
        <d v="2016-03-22T00:00:00Z"/>
        <d v="2016-03-23T00:00:00Z"/>
        <d v="2016-03-24T00:00:00Z"/>
        <d v="2016-03-25T00:00:00Z"/>
        <d v="2016-03-26T00:00:00Z"/>
        <d v="2016-03-27T00:00:00Z"/>
        <d v="2016-03-28T00:00:00Z"/>
        <d v="2016-03-29T00:00:00Z"/>
        <d v="2016-03-30T00:00:00Z"/>
        <d v="2016-03-31T00:00:00Z"/>
        <d v="2016-04-01T00:00:00Z"/>
        <d v="2016-04-02T00:00:00Z"/>
        <d v="2016-04-03T00:00:00Z"/>
        <d v="2016-04-04T00:00:00Z"/>
        <d v="2016-04-05T00:00:00Z"/>
        <d v="2016-04-06T00:00:00Z"/>
        <d v="2016-04-07T00:00:00Z"/>
        <d v="2016-04-08T00:00:00Z"/>
        <d v="2016-04-09T00:00:00Z"/>
        <d v="2016-04-10T00:00:00Z"/>
        <d v="2016-04-11T00:00:00Z"/>
        <d v="2016-04-12T00:00:00Z"/>
        <d v="2016-04-13T00:00:00Z"/>
        <d v="2016-04-14T00:00:00Z"/>
        <d v="2016-04-15T00:00:00Z"/>
        <d v="2016-04-16T00:00:00Z"/>
        <d v="2016-04-17T00:00:00Z"/>
        <d v="2016-04-18T00:00:00Z"/>
        <d v="2016-04-19T00:00:00Z"/>
        <d v="2016-04-20T00:00:00Z"/>
        <d v="2016-04-21T00:00:00Z"/>
        <d v="2016-04-22T00:00:00Z"/>
        <d v="2016-04-23T00:00:00Z"/>
        <d v="2016-04-24T00:00:00Z"/>
        <d v="2016-04-25T00:00:00Z"/>
        <d v="2016-04-26T00:00:00Z"/>
        <d v="2016-04-27T00:00:00Z"/>
        <d v="2016-04-28T00:00:00Z"/>
        <d v="2016-04-29T00:00:00Z"/>
        <d v="2016-04-30T00:00:00Z"/>
        <d v="2016-05-01T00:00:00Z"/>
        <d v="2016-05-02T00:00:00Z"/>
        <d v="2016-05-03T00:00:00Z"/>
        <d v="2016-05-04T00:00:00Z"/>
        <d v="2016-05-05T00:00:00Z"/>
        <d v="2016-05-06T00:00:00Z"/>
        <d v="2016-05-07T00:00:00Z"/>
        <d v="2016-05-08T00:00:00Z"/>
        <d v="2016-05-09T00:00:00Z"/>
        <d v="2016-05-10T00:00:00Z"/>
        <d v="2016-05-11T00:00:00Z"/>
        <d v="2016-05-12T00:00:00Z"/>
        <d v="2016-05-13T00:00:00Z"/>
        <d v="2016-05-14T00:00:00Z"/>
        <d v="2016-05-15T00:00:00Z"/>
        <d v="2016-05-16T00:00:00Z"/>
        <d v="2016-05-17T00:00:00Z"/>
        <d v="2016-05-18T00:00:00Z"/>
        <d v="2016-05-19T00:00:00Z"/>
        <d v="2016-05-20T00:00:00Z"/>
        <d v="2016-05-21T00:00:00Z"/>
        <d v="2016-05-22T00:00:00Z"/>
        <d v="2016-05-23T00:00:00Z"/>
        <d v="2016-05-24T00:00:00Z"/>
        <d v="2016-05-25T00:00:00Z"/>
        <d v="2016-05-26T00:00:00Z"/>
        <d v="2016-05-27T00:00:00Z"/>
        <d v="2016-05-28T00:00:00Z"/>
        <d v="2016-05-29T00:00:00Z"/>
        <d v="2016-05-30T00:00:00Z"/>
        <d v="2016-05-31T00:00:00Z"/>
        <d v="2016-06-01T00:00:00Z"/>
        <d v="2016-06-02T00:00:00Z"/>
        <d v="2016-06-03T00:00:00Z"/>
        <d v="2016-06-04T00:00:00Z"/>
        <d v="2016-06-05T00:00:00Z"/>
        <d v="2016-06-06T00:00:00Z"/>
        <d v="2016-06-07T00:00:00Z"/>
        <d v="2016-06-08T00:00:00Z"/>
        <d v="2016-06-09T00:00:00Z"/>
        <d v="2016-06-10T00:00:00Z"/>
        <d v="2016-06-11T00:00:00Z"/>
        <d v="2016-06-12T00:00:00Z"/>
        <d v="2016-06-13T00:00:00Z"/>
        <d v="2016-06-14T00:00:00Z"/>
        <d v="2016-06-15T00:00:00Z"/>
        <d v="2016-06-16T00:00:00Z"/>
        <d v="2016-06-17T00:00:00Z"/>
        <d v="2016-06-18T00:00:00Z"/>
        <d v="2016-06-19T00:00:00Z"/>
        <d v="2016-06-20T00:00:00Z"/>
        <d v="2016-06-21T00:00:00Z"/>
        <d v="2016-06-22T00:00:00Z"/>
        <d v="2016-06-23T00:00:00Z"/>
        <d v="2016-06-24T00:00:00Z"/>
        <d v="2016-06-25T00:00:00Z"/>
        <d v="2016-06-26T00:00:00Z"/>
        <d v="2016-06-27T00:00:00Z"/>
        <d v="2016-06-28T00:00:00Z"/>
        <d v="2016-06-29T00:00:00Z"/>
        <d v="2016-06-30T00:00:00Z"/>
        <d v="2016-07-01T00:00:00Z"/>
        <d v="2016-07-02T00:00:00Z"/>
        <d v="2016-07-03T00:00:00Z"/>
        <d v="2016-07-04T00:00:00Z"/>
        <d v="2016-07-05T00:00:00Z"/>
        <d v="2016-07-06T00:00:00Z"/>
        <d v="2016-07-07T00:00:00Z"/>
        <d v="2016-07-08T00:00:00Z"/>
        <d v="2016-07-09T00:00:00Z"/>
        <d v="2016-07-10T00:00:00Z"/>
        <d v="2016-07-11T00:00:00Z"/>
        <d v="2016-07-12T00:00:00Z"/>
        <d v="2016-07-13T00:00:00Z"/>
        <d v="2016-07-14T00:00:00Z"/>
        <d v="2016-07-15T00:00:00Z"/>
        <d v="2016-07-16T00:00:00Z"/>
        <d v="2016-07-17T00:00:00Z"/>
        <d v="2016-07-18T00:00:00Z"/>
        <d v="2016-07-19T00:00:00Z"/>
        <d v="2016-07-20T00:00:00Z"/>
        <d v="2016-07-21T00:00:00Z"/>
        <d v="2016-07-22T00:00:00Z"/>
        <d v="2016-07-23T00:00:00Z"/>
        <d v="2016-07-24T00:00:00Z"/>
        <d v="2016-07-25T00:00:00Z"/>
        <d v="2016-07-26T00:00:00Z"/>
        <d v="2016-07-27T00:00:00Z"/>
        <d v="2016-07-28T00:00:00Z"/>
        <d v="2016-07-29T00:00:00Z"/>
        <d v="2016-07-30T00:00:00Z"/>
        <d v="2016-07-31T00:00:00Z"/>
        <d v="2016-08-01T00:00:00Z"/>
        <d v="2016-08-02T00:00:00Z"/>
        <d v="2016-08-03T00:00:00Z"/>
        <d v="2016-08-04T00:00:00Z"/>
        <d v="2016-08-05T00:00:00Z"/>
        <d v="2016-08-06T00:00:00Z"/>
        <d v="2016-08-07T00:00:00Z"/>
        <d v="2016-08-08T00:00:00Z"/>
        <d v="2016-08-09T00:00:00Z"/>
        <d v="2016-08-10T00:00:00Z"/>
        <d v="2016-08-11T00:00:00Z"/>
        <d v="2016-08-12T00:00:00Z"/>
        <d v="2016-08-13T00:00:00Z"/>
        <d v="2016-08-14T00:00:00Z"/>
        <d v="2016-08-15T00:00:00Z"/>
        <d v="2016-08-16T00:00:00Z"/>
        <d v="2016-08-17T00:00:00Z"/>
        <d v="2016-08-18T00:00:00Z"/>
        <d v="2016-08-19T00:00:00Z"/>
        <d v="2016-08-20T00:00:00Z"/>
        <d v="2016-08-21T00:00:00Z"/>
        <d v="2016-08-22T00:00:00Z"/>
        <d v="2016-08-23T00:00:00Z"/>
        <d v="2016-08-24T00:00:00Z"/>
        <d v="2016-08-25T00:00:00Z"/>
        <d v="2016-08-26T00:00:00Z"/>
        <d v="2016-08-27T00:00:00Z"/>
        <d v="2016-08-28T00:00:00Z"/>
        <d v="2016-08-29T00:00:00Z"/>
        <d v="2016-08-30T00:00:00Z"/>
        <d v="2016-08-31T00:00:00Z"/>
        <d v="2016-09-01T00:00:00Z"/>
        <d v="2016-09-02T00:00:00Z"/>
        <d v="2016-09-03T00:00:00Z"/>
        <d v="2016-09-04T00:00:00Z"/>
        <d v="2016-09-05T00:00:00Z"/>
        <d v="2016-09-06T00:00:00Z"/>
        <d v="2016-09-07T00:00:00Z"/>
        <d v="2016-09-08T00:00:00Z"/>
        <d v="2016-09-09T00:00:00Z"/>
        <d v="2016-09-10T00:00:00Z"/>
        <d v="2016-09-11T00:00:00Z"/>
        <d v="2016-09-12T00:00:00Z"/>
        <d v="2016-09-13T00:00:00Z"/>
        <d v="2016-09-14T00:00:00Z"/>
        <d v="2016-09-15T00:00:00Z"/>
        <d v="2016-09-16T00:00:00Z"/>
        <d v="2016-09-17T00:00:00Z"/>
        <d v="2016-09-18T00:00:00Z"/>
        <d v="2016-09-19T00:00:00Z"/>
        <d v="2016-09-20T00:00:00Z"/>
        <d v="2016-09-21T00:00:00Z"/>
        <d v="2016-09-22T00:00:00Z"/>
        <d v="2016-09-23T00:00:00Z"/>
        <d v="2016-09-24T00:00:00Z"/>
        <d v="2016-09-25T00:00:00Z"/>
        <d v="2016-09-26T00:00:00Z"/>
        <d v="2016-09-27T00:00:00Z"/>
        <d v="2016-09-28T00:00:00Z"/>
        <d v="2016-09-29T00:00:00Z"/>
        <d v="2016-09-30T00:00:00Z"/>
        <d v="2016-10-01T00:00:00Z"/>
        <d v="2016-10-02T00:00:00Z"/>
        <d v="2016-10-03T00:00:00Z"/>
        <d v="2016-10-04T00:00:00Z"/>
        <d v="2016-10-05T00:00:00Z"/>
        <d v="2016-10-06T00:00:00Z"/>
        <d v="2016-10-07T00:00:00Z"/>
        <d v="2016-10-08T00:00:00Z"/>
        <d v="2016-10-09T00:00:00Z"/>
        <d v="2016-10-10T00:00:00Z"/>
        <d v="2016-10-11T00:00:00Z"/>
        <d v="2016-10-12T00:00:00Z"/>
        <d v="2016-10-13T00:00:00Z"/>
        <d v="2016-10-14T00:00:00Z"/>
        <d v="2016-10-15T00:00:00Z"/>
        <d v="2016-10-16T00:00:00Z"/>
        <d v="2016-10-17T00:00:00Z"/>
        <d v="2016-10-18T00:00:00Z"/>
        <d v="2016-10-19T00:00:00Z"/>
        <d v="2016-10-20T00:00:00Z"/>
        <d v="2016-10-21T00:00:00Z"/>
        <d v="2016-10-22T00:00:00Z"/>
        <d v="2016-10-23T00:00:00Z"/>
        <d v="2016-10-24T00:00:00Z"/>
        <d v="2016-10-25T00:00:00Z"/>
        <d v="2016-10-26T00:00:00Z"/>
        <d v="2016-10-27T00:00:00Z"/>
        <d v="2016-10-28T00:00:00Z"/>
        <d v="2016-10-29T00:00:00Z"/>
        <d v="2016-10-30T00:00:00Z"/>
        <d v="2016-10-31T00:00:00Z"/>
        <d v="2016-11-01T00:00:00Z"/>
        <d v="2016-11-02T00:00:00Z"/>
        <d v="2016-11-03T00:00:00Z"/>
        <d v="2016-11-04T00:00:00Z"/>
        <d v="2016-11-05T00:00:00Z"/>
        <d v="2016-11-06T00:00:00Z"/>
        <d v="2016-11-07T00:00:00Z"/>
        <d v="2016-11-08T00:00:00Z"/>
        <d v="2016-11-09T00:00:00Z"/>
        <d v="2016-11-10T00:00:00Z"/>
        <d v="2016-11-11T00:00:00Z"/>
        <d v="2016-11-12T00:00:00Z"/>
        <d v="2016-11-13T00:00:00Z"/>
        <d v="2016-11-14T00:00:00Z"/>
        <d v="2016-11-15T00:00:00Z"/>
        <d v="2016-11-16T00:00:00Z"/>
      </sharedItems>
    </cacheField>
    <cacheField name="Transaction Year" numFmtId="0">
      <sharedItems containsSemiMixedTypes="0" containsString="0" containsNumber="1" containsInteger="1">
        <n v="2013.0"/>
        <n v="2014.0"/>
        <n v="2015.0"/>
        <n v="2016.0"/>
      </sharedItems>
    </cacheField>
    <cacheField name="Transaction Month" numFmtId="0">
      <sharedItems>
        <s v="December"/>
        <s v="January"/>
        <s v="February"/>
        <s v="March"/>
        <s v="April"/>
        <s v="May"/>
        <s v="June"/>
        <s v="July"/>
        <s v="August"/>
        <s v="September"/>
        <s v="October"/>
        <s v="November"/>
      </sharedItems>
    </cacheField>
    <cacheField name="Transaction Day" numFmtId="0">
      <sharedItems>
        <s v="30"/>
        <s v="31"/>
        <s v="01"/>
        <s v="02"/>
        <s v="03"/>
        <s v="04"/>
        <s v="05"/>
        <s v="06"/>
        <s v="07"/>
        <s v="08"/>
        <s v="09"/>
        <s v="10"/>
        <s v="11"/>
        <s v="12"/>
        <s v="13"/>
        <s v="14"/>
        <s v="15"/>
        <s v="16"/>
        <s v="17"/>
        <s v="18"/>
        <s v="19"/>
        <s v="20"/>
        <s v="21"/>
        <s v="22"/>
        <s v="23"/>
        <s v="24"/>
        <s v="25"/>
        <s v="26"/>
        <s v="27"/>
        <s v="28"/>
        <s v="29"/>
      </sharedItems>
    </cacheField>
    <cacheField name="Transaction Dayname" numFmtId="0">
      <sharedItems>
        <s v="Mon"/>
        <s v="Tue"/>
        <s v="Wed"/>
        <s v="Thu"/>
        <s v="Fri"/>
        <s v="Sat"/>
        <s v="Sun"/>
      </sharedItems>
    </cacheField>
    <cacheField name="Quantity Sold" numFmtId="0">
      <sharedItems containsSemiMixedTypes="0" containsString="0" containsNumber="1" containsInteger="1">
        <n v="6827.0"/>
        <n v="9268.0"/>
        <n v="2678.0"/>
        <n v="6175.0"/>
        <n v="10084.0"/>
        <n v="9470.0"/>
        <n v="5524.0"/>
        <n v="9448.0"/>
        <n v="6911.0"/>
        <n v="2990.0"/>
        <n v="3159.0"/>
        <n v="4246.0"/>
        <n v="4297.0"/>
        <n v="2796.0"/>
        <n v="3369.0"/>
        <n v="2348.0"/>
        <n v="2903.0"/>
        <n v="2491.0"/>
        <n v="3968.0"/>
        <n v="4393.0"/>
        <n v="2176.0"/>
        <n v="2443.0"/>
        <n v="2638.0"/>
        <n v="1704.0"/>
        <n v="1872.0"/>
        <n v="3423.0"/>
        <n v="4544.0"/>
        <n v="2426.0"/>
        <n v="2117.0"/>
        <n v="1476.0"/>
        <n v="1974.0"/>
        <n v="1892.0"/>
        <n v="4030.0"/>
        <n v="5304.0"/>
        <n v="3320.0"/>
        <n v="4191.0"/>
        <n v="3809.0"/>
        <n v="5764.0"/>
        <n v="3028.0"/>
        <n v="9284.0"/>
        <n v="9737.0"/>
        <n v="4163.0"/>
        <n v="4552.0"/>
        <n v="4172.0"/>
        <n v="5037.0"/>
        <n v="4259.0"/>
        <n v="10381.0"/>
        <n v="11332.0"/>
        <n v="4127.0"/>
        <n v="4649.0"/>
        <n v="1627.0"/>
        <n v="3281.0"/>
        <n v="2310.0"/>
        <n v="9802.0"/>
        <n v="9772.0"/>
        <n v="4270.0"/>
        <n v="4106.0"/>
        <n v="6937.0"/>
        <n v="6934.0"/>
        <n v="11082.0"/>
        <n v="20805.0"/>
        <n v="26410.0"/>
        <n v="15004.0"/>
        <n v="16884.0"/>
        <n v="9789.0"/>
        <n v="8079.0"/>
        <n v="5072.0"/>
        <n v="14551.0"/>
        <n v="16262.0"/>
        <n v="7014.0"/>
        <n v="8932.0"/>
        <n v="5737.0"/>
        <n v="5903.0"/>
        <n v="5056.0"/>
        <n v="12167.0"/>
        <n v="15971.0"/>
        <n v="6968.0"/>
        <n v="7494.0"/>
        <n v="2707.0"/>
        <n v="2637.0"/>
        <n v="5149.0"/>
        <n v="5735.0"/>
        <n v="4936.0"/>
        <n v="2003.0"/>
        <n v="2323.0"/>
        <n v="3822.0"/>
        <n v="3666.0"/>
        <n v="3543.0"/>
        <n v="8130.0"/>
        <n v="10518.0"/>
        <n v="4791.0"/>
        <n v="5583.0"/>
        <n v="7155.0"/>
        <n v="4575.0"/>
        <n v="3997.0"/>
        <n v="5558.0"/>
        <n v="6320.0"/>
        <n v="3447.0"/>
        <n v="3854.0"/>
        <n v="3394.0"/>
        <n v="3563.0"/>
        <n v="5380.0"/>
        <n v="9573.0"/>
        <n v="11250.0"/>
        <n v="4990.0"/>
        <n v="5810.0"/>
        <n v="7497.0"/>
        <n v="8821.0"/>
        <n v="18366.0"/>
        <n v="13940.0"/>
        <n v="10814.0"/>
        <n v="3429.0"/>
        <n v="4834.0"/>
        <n v="5475.0"/>
        <n v="3121.0"/>
        <n v="2809.0"/>
        <n v="8537.0"/>
        <n v="8209.0"/>
        <n v="3592.0"/>
        <n v="3576.0"/>
        <n v="3807.0"/>
        <n v="4398.0"/>
        <n v="5124.0"/>
        <n v="4581.0"/>
        <n v="3697.0"/>
        <n v="2642.0"/>
        <n v="3154.0"/>
        <n v="3324.0"/>
        <n v="2677.0"/>
        <n v="2683.0"/>
        <n v="9328.0"/>
        <n v="13306.0"/>
        <n v="6173.0"/>
        <n v="5653.0"/>
        <n v="4503.0"/>
        <n v="6253.0"/>
        <n v="8408.0"/>
        <n v="12949.0"/>
        <n v="15508.0"/>
        <n v="5141.0"/>
        <n v="5194.0"/>
        <n v="5550.0"/>
        <n v="6070.0"/>
        <n v="3421.0"/>
        <n v="13384.0"/>
        <n v="18356.0"/>
        <n v="6500.0"/>
        <n v="6752.0"/>
        <n v="7023.0"/>
        <n v="7579.0"/>
        <n v="6448.0"/>
        <n v="15637.0"/>
        <n v="18775.0"/>
        <n v="14188.0"/>
        <n v="13256.0"/>
        <n v="10223.0"/>
        <n v="8904.0"/>
        <n v="5783.0"/>
        <n v="9005.0"/>
        <n v="12222.0"/>
        <n v="6037.0"/>
        <n v="6607.0"/>
        <n v="5857.0"/>
        <n v="5429.0"/>
        <n v="6232.0"/>
        <n v="14585.0"/>
        <n v="14745.0"/>
        <n v="6991.0"/>
        <n v="5788.0"/>
        <n v="6632.0"/>
        <n v="5752.0"/>
        <n v="3578.0"/>
        <n v="6119.0"/>
        <n v="6161.0"/>
        <n v="4015.0"/>
        <n v="4133.0"/>
        <n v="1047.0"/>
        <n v="1601.0"/>
        <n v="1592.0"/>
        <n v="3759.0"/>
        <n v="1772.0"/>
        <n v="2672.0"/>
        <n v="5143.0"/>
        <n v="2667.0"/>
        <n v="2799.0"/>
        <n v="3355.0"/>
        <n v="2002.0"/>
        <n v="1967.0"/>
        <n v="3094.0"/>
        <n v="2335.0"/>
        <n v="2968.0"/>
        <n v="3825.0"/>
        <n v="2833.0"/>
        <n v="1419.0"/>
        <n v="2151.0"/>
        <n v="3148.0"/>
        <n v="4825.0"/>
        <n v="2307.0"/>
        <n v="3557.0"/>
        <n v="7485.0"/>
        <n v="2428.0"/>
        <n v="2475.0"/>
        <n v="1618.0"/>
        <n v="5106.0"/>
        <n v="2729.0"/>
        <n v="15897.0"/>
        <n v="17343.0"/>
        <n v="8207.0"/>
        <n v="9018.0"/>
        <n v="6548.0"/>
        <n v="6102.0"/>
        <n v="9108.0"/>
        <n v="18867.0"/>
        <n v="19384.0"/>
        <n v="9473.0"/>
        <n v="11170.0"/>
        <n v="8091.0"/>
        <n v="2303.0"/>
        <n v="2947.0"/>
        <n v="13542.0"/>
        <n v="12588.0"/>
        <n v="6032.0"/>
        <n v="7158.0"/>
        <n v="5863.0"/>
        <n v="6092.0"/>
        <n v="5485.0"/>
        <n v="14587.0"/>
        <n v="16686.0"/>
        <n v="7380.0"/>
        <n v="7864.0"/>
        <n v="4941.0"/>
        <n v="5151.0"/>
        <n v="4928.0"/>
        <n v="11309.0"/>
        <n v="13613.0"/>
        <n v="6424.0"/>
        <n v="9493.0"/>
        <n v="7619.0"/>
        <n v="8909.0"/>
        <n v="8400.0"/>
        <n v="19317.0"/>
        <n v="23310.0"/>
        <n v="11646.0"/>
        <n v="19366.0"/>
        <n v="15291.0"/>
        <n v="15100.0"/>
        <n v="10164.0"/>
        <n v="16310.0"/>
        <n v="17985.0"/>
        <n v="7620.0"/>
        <n v="7958.0"/>
        <n v="3503.0"/>
        <n v="2247.0"/>
        <n v="2023.0"/>
        <n v="4242.0"/>
        <n v="4901.0"/>
        <n v="2467.0"/>
        <n v="3432.0"/>
        <n v="2375.0"/>
        <n v="2105.0"/>
        <n v="1982.0"/>
        <n v="3915.0"/>
        <n v="4383.0"/>
        <n v="2159.0"/>
        <n v="2592.0"/>
        <n v="3143.0"/>
        <n v="6457.0"/>
        <n v="11039.0"/>
        <n v="18036.0"/>
        <n v="19017.0"/>
        <n v="8747.0"/>
        <n v="8147.0"/>
        <n v="11036.0"/>
        <n v="18330.0"/>
        <n v="14503.0"/>
        <n v="15986.0"/>
        <n v="20223.0"/>
        <n v="8631.0"/>
        <n v="11579.0"/>
        <n v="2127.0"/>
        <n v="1923.0"/>
        <n v="4891.0"/>
        <n v="3758.0"/>
        <n v="1661.0"/>
        <n v="2360.0"/>
        <n v="1894.0"/>
        <n v="3548.0"/>
        <n v="2591.0"/>
        <n v="3293.0"/>
        <n v="4611.0"/>
        <n v="2468.0"/>
        <n v="2773.0"/>
        <n v="2815.0"/>
        <n v="2701.0"/>
        <n v="2651.0"/>
        <n v="6781.0"/>
        <n v="8249.0"/>
        <n v="3502.0"/>
        <n v="3949.0"/>
        <n v="2435.0"/>
        <n v="2232.0"/>
        <n v="1898.0"/>
        <n v="4537.0"/>
        <n v="6730.0"/>
        <n v="4038.0"/>
        <n v="5581.0"/>
        <n v="2519.0"/>
        <n v="1847.0"/>
        <n v="2309.0"/>
        <n v="3722.0"/>
        <n v="4268.0"/>
        <n v="1968.0"/>
        <n v="2016.0"/>
        <n v="1497.0"/>
        <n v="1314.0"/>
        <n v="1466.0"/>
        <n v="3984.0"/>
        <n v="4802.0"/>
        <n v="2017.0"/>
        <n v="2297.0"/>
        <n v="1665.0"/>
        <n v="1291.0"/>
        <n v="1361.0"/>
        <n v="1281.0"/>
        <n v="1122.0"/>
        <n v="737.0"/>
        <n v="641.0"/>
        <n v="968.0"/>
        <n v="709.0"/>
        <n v="880.0"/>
        <n v="1096.0"/>
        <n v="2068.0"/>
        <n v="2492.0"/>
        <n v="2170.0"/>
        <n v="1784.0"/>
        <n v="1368.0"/>
        <n v="1914.0"/>
        <n v="3765.0"/>
        <n v="2712.0"/>
        <n v="2222.0"/>
        <n v="1861.0"/>
        <n v="4095.0"/>
        <n v="4157.0"/>
        <n v="7259.0"/>
        <n v="9654.0"/>
        <n v="4632.0"/>
        <n v="7341.0"/>
        <n v="4308.0"/>
        <n v="3865.0"/>
        <n v="5288.0"/>
        <n v="7141.0"/>
        <n v="8268.0"/>
        <n v="4541.0"/>
        <n v="5014.0"/>
        <n v="7778.0"/>
        <n v="11809.0"/>
        <n v="3344.0"/>
        <n v="1169.0"/>
        <n v="2676.0"/>
        <n v="1677.0"/>
        <n v="3237.0"/>
        <n v="5607.0"/>
        <n v="9464.0"/>
        <n v="2905.0"/>
        <n v="6371.0"/>
        <n v="4624.0"/>
        <n v="5717.0"/>
        <n v="4705.0"/>
        <n v="2020.0"/>
        <n v="1868.0"/>
        <n v="3008.0"/>
        <n v="2934.0"/>
        <n v="1690.0"/>
        <n v="2058.0"/>
        <n v="1570.0"/>
        <n v="1446.0"/>
        <n v="1921.0"/>
        <n v="3629.0"/>
        <n v="4144.0"/>
        <n v="1815.0"/>
        <n v="2189.0"/>
        <n v="2376.0"/>
        <n v="1525.0"/>
        <n v="1616.0"/>
        <n v="3757.0"/>
        <n v="3855.0"/>
        <n v="1897.0"/>
        <n v="2230.0"/>
        <n v="1870.0"/>
        <n v="1455.0"/>
        <n v="1392.0"/>
        <n v="3268.0"/>
        <n v="4862.0"/>
        <n v="4165.0"/>
        <n v="3685.0"/>
        <n v="2479.0"/>
        <n v="2005.0"/>
        <n v="2082.0"/>
        <n v="2573.0"/>
        <n v="1774.0"/>
        <n v="2378.0"/>
        <n v="3677.0"/>
        <n v="4299.0"/>
        <n v="3674.0"/>
        <n v="9505.0"/>
        <n v="11237.0"/>
        <n v="5406.0"/>
        <n v="5846.0"/>
        <n v="3713.0"/>
        <n v="3827.0"/>
        <n v="7770.0"/>
        <n v="7102.0"/>
        <n v="3608.0"/>
        <n v="2150.0"/>
        <n v="2530.0"/>
        <n v="5253.0"/>
        <n v="4171.0"/>
        <n v="8156.0"/>
        <n v="9296.0"/>
        <n v="6803.0"/>
        <n v="6221.0"/>
        <n v="6611.0"/>
        <n v="6843.0"/>
        <n v="3858.0"/>
        <n v="7128.0"/>
        <n v="8127.0"/>
        <n v="2966.0"/>
        <n v="2858.0"/>
        <n v="1518.0"/>
        <n v="1386.0"/>
        <n v="1166.0"/>
        <n v="2853.0"/>
        <n v="3657.0"/>
        <n v="1631.0"/>
        <n v="1959.0"/>
        <n v="1230.0"/>
        <n v="1182.0"/>
        <n v="1050.0"/>
        <n v="2353.0"/>
        <n v="1626.0"/>
        <n v="1976.0"/>
        <n v="3312.0"/>
        <n v="6704.0"/>
        <n v="6077.0"/>
        <n v="9386.0"/>
        <n v="12181.0"/>
        <n v="5937.0"/>
        <n v="5706.0"/>
        <n v="9421.0"/>
        <n v="13207.0"/>
        <n v="18936.0"/>
        <n v="13503.0"/>
        <n v="10600.0"/>
        <n v="3591.0"/>
        <n v="4836.0"/>
        <n v="4348.0"/>
        <n v="2451.0"/>
        <n v="1814.0"/>
        <n v="2770.0"/>
        <n v="3072.0"/>
        <n v="1934.0"/>
        <n v="2019.0"/>
        <n v="979.0"/>
        <n v="1398.0"/>
        <n v="1198.0"/>
        <n v="2485.0"/>
        <n v="3172.0"/>
        <n v="1365.0"/>
        <n v="1353.0"/>
        <n v="3439.0"/>
        <n v="1434.0"/>
        <n v="8892.0"/>
        <n v="13144.0"/>
        <n v="5179.0"/>
        <n v="5150.0"/>
        <n v="9986.0"/>
        <n v="12937.0"/>
        <n v="12217.0"/>
        <n v="6721.0"/>
        <n v="8283.0"/>
        <n v="6191.0"/>
        <n v="5959.0"/>
        <n v="2848.0"/>
        <n v="8748.0"/>
        <n v="10329.0"/>
        <n v="4410.0"/>
        <n v="5257.0"/>
        <n v="5118.0"/>
        <n v="3952.0"/>
        <n v="10964.0"/>
        <n v="4695.0"/>
        <n v="5205.0"/>
        <n v="3638.0"/>
        <n v="4394.0"/>
        <n v="2012.0"/>
        <n v="8526.0"/>
        <n v="11096.0"/>
        <n v="4489.0"/>
        <n v="6795.0"/>
        <n v="5283.0"/>
        <n v="6453.0"/>
        <n v="5770.0"/>
        <n v="12507.0"/>
        <n v="14475.0"/>
        <n v="7009.0"/>
        <n v="11688.0"/>
        <n v="8863.0"/>
        <n v="7148.0"/>
        <n v="5326.0"/>
        <n v="7775.0"/>
        <n v="9255.0"/>
        <n v="4758.0"/>
        <n v="2613.0"/>
        <n v="1830.0"/>
        <n v="1694.0"/>
        <n v="1642.0"/>
        <n v="3690.0"/>
        <n v="4404.0"/>
        <n v="1992.0"/>
        <n v="2395.0"/>
        <n v="2120.0"/>
        <n v="1875.0"/>
        <n v="3376.0"/>
        <n v="4027.0"/>
        <n v="2128.0"/>
        <n v="2046.0"/>
        <n v="1546.0"/>
        <n v="2822.0"/>
        <n v="4865.0"/>
        <n v="8450.0"/>
        <n v="9770.0"/>
        <n v="4914.0"/>
        <n v="4385.0"/>
        <n v="5627.0"/>
        <n v="8086.0"/>
        <n v="6639.0"/>
        <n v="7104.0"/>
        <n v="8364.0"/>
        <n v="4146.0"/>
        <n v="4601.0"/>
        <n v="3593.0"/>
        <n v="2114.0"/>
        <n v="1797.0"/>
        <n v="3195.0"/>
        <n v="3595.0"/>
        <n v="1467.0"/>
        <n v="1610.0"/>
        <n v="1307.0"/>
        <n v="2050.0"/>
        <n v="1849.0"/>
        <n v="3070.0"/>
        <n v="3322.0"/>
        <n v="1787.0"/>
        <n v="1846.0"/>
        <n v="1142.0"/>
        <n v="1734.0"/>
        <n v="3259.0"/>
        <n v="3572.0"/>
        <n v="2109.0"/>
        <n v="2242.0"/>
        <n v="1474.0"/>
        <n v="1381.0"/>
        <n v="1423.0"/>
        <n v="3740.0"/>
        <n v="4453.0"/>
        <n v="2258.0"/>
        <n v="2074.0"/>
        <n v="2007.0"/>
        <n v="1948.0"/>
        <n v="1922.0"/>
        <n v="3088.0"/>
        <n v="3388.0"/>
        <n v="1944.0"/>
        <n v="1812.0"/>
        <n v="1563.0"/>
        <n v="1171.0"/>
        <n v="1035.0"/>
        <n v="3068.0"/>
        <n v="1866.0"/>
        <n v="922.0"/>
        <n v="604.0"/>
        <n v="643.0"/>
        <n v="2006.0"/>
        <n v="1528.0"/>
        <n v="6360.0"/>
        <n v="8035.0"/>
        <n v="6675.0"/>
        <n v="11330.0"/>
        <n v="13484.0"/>
        <n v="5913.0"/>
        <n v="9721.0"/>
        <n v="11257.0"/>
        <n v="10102.0"/>
        <n v="7938.0"/>
        <n v="9936.0"/>
        <n v="10643.0"/>
        <n v="4800.0"/>
        <n v="5228.0"/>
        <n v="1810.0"/>
        <n v="1961.0"/>
        <n v="1232.0"/>
        <n v="2194.0"/>
        <n v="1469.0"/>
        <n v="829.0"/>
        <n v="1329.0"/>
        <n v="1300.0"/>
        <n v="773.0"/>
        <n v="760.0"/>
        <n v="1755.0"/>
        <n v="1766.0"/>
        <n v="1078.0"/>
        <n v="1124.0"/>
        <n v="3725.0"/>
        <n v="4492.0"/>
        <n v="11030.0"/>
        <n v="10528.0"/>
        <n v="4895.0"/>
        <n v="5720.0"/>
        <n v="4288.0"/>
        <n v="9693.0"/>
        <n v="12065.0"/>
        <n v="11758.0"/>
        <n v="13508.0"/>
        <n v="6085.0"/>
        <n v="8828.0"/>
        <n v="6636.0"/>
        <n v="1622.0"/>
        <n v="1512.0"/>
        <n v="3211.0"/>
        <n v="3037.0"/>
        <n v="1456.0"/>
        <n v="1465.0"/>
        <n v="1018.0"/>
        <n v="1070.0"/>
        <n v="1357.0"/>
        <n v="2810.0"/>
        <n v="2829.0"/>
        <n v="1517.0"/>
        <n v="1399.0"/>
        <n v="1067.0"/>
        <n v="5042.0"/>
        <n v="6872.0"/>
        <n v="3218.0"/>
        <n v="3347.0"/>
        <n v="3177.0"/>
        <n v="4532.0"/>
        <n v="3231.0"/>
        <n v="7731.0"/>
        <n v="11148.0"/>
        <n v="7459.0"/>
        <n v="7316.0"/>
        <n v="5211.0"/>
        <n v="5731.0"/>
        <n v="3036.0"/>
        <n v="5822.0"/>
        <n v="7987.0"/>
        <n v="3640.0"/>
        <n v="2338.0"/>
        <n v="3744.0"/>
        <n v="4216.0"/>
        <n v="4000.0"/>
        <n v="10204.0"/>
        <n v="10769.0"/>
        <n v="4803.0"/>
        <n v="4342.0"/>
        <n v="4202.0"/>
        <n v="4151.0"/>
        <n v="8567.0"/>
        <n v="8811.0"/>
        <n v="4345.0"/>
        <n v="1937.0"/>
        <n v="3160.0"/>
        <n v="6924.0"/>
        <n v="9273.0"/>
        <n v="13019.0"/>
        <n v="7139.0"/>
        <n v="7423.0"/>
        <n v="7474.0"/>
        <n v="7056.0"/>
        <n v="5732.0"/>
        <n v="9038.0"/>
        <n v="10737.0"/>
        <n v="5505.0"/>
        <n v="2198.0"/>
        <n v="3190.0"/>
        <n v="3814.0"/>
        <n v="3610.0"/>
        <n v="6227.0"/>
        <n v="9422.0"/>
        <n v="4715.0"/>
        <n v="6212.0"/>
        <n v="6585.0"/>
        <n v="6051.0"/>
        <n v="7750.0"/>
        <n v="9490.0"/>
        <n v="4382.0"/>
        <n v="8196.0"/>
        <n v="6534.0"/>
        <n v="9540.0"/>
        <n v="3256.0"/>
        <n v="2013.0"/>
        <n v="1692.0"/>
        <n v="3234.0"/>
        <n v="4592.0"/>
        <n v="5945.0"/>
        <n v="9266.0"/>
        <n v="3179.0"/>
        <n v="7479.0"/>
        <n v="4694.0"/>
        <n v="7843.0"/>
        <n v="6150.0"/>
        <n v="2401.0"/>
        <n v="1808.0"/>
        <n v="2594.0"/>
        <n v="3274.0"/>
        <n v="2207.0"/>
        <n v="2949.0"/>
        <n v="2417.0"/>
        <n v="1644.0"/>
        <n v="1499.0"/>
        <n v="3648.0"/>
        <n v="4652.0"/>
        <n v="2252.0"/>
        <n v="2357.0"/>
        <n v="1715.0"/>
        <n v="4776.0"/>
        <n v="1628.0"/>
        <n v="7806.0"/>
        <n v="9210.0"/>
        <n v="4351.0"/>
        <n v="6278.0"/>
        <n v="5992.0"/>
        <n v="6265.0"/>
        <n v="5723.0"/>
        <n v="11900.0"/>
        <n v="15345.0"/>
        <n v="6525.0"/>
        <n v="10153.0"/>
        <n v="8116.0"/>
        <n v="7712.0"/>
        <n v="5759.0"/>
        <n v="9501.0"/>
        <n v="10840.0"/>
        <n v="5089.0"/>
        <n v="6087.0"/>
        <n v="2053.0"/>
        <n v="1825.0"/>
        <n v="3542.0"/>
        <n v="4105.0"/>
        <n v="2094.0"/>
        <n v="2940.0"/>
        <n v="1841.0"/>
        <n v="4529.0"/>
        <n v="1658.0"/>
        <n v="3841.0"/>
        <n v="9260.0"/>
        <n v="2308.0"/>
        <n v="2028.0"/>
        <n v="1301.0"/>
        <n v="2213.0"/>
        <n v="4935.0"/>
        <n v="5609.0"/>
        <n v="3452.0"/>
        <n v="4719.0"/>
        <n v="4451.0"/>
        <n v="3364.0"/>
        <n v="3665.0"/>
        <n v="3889.0"/>
        <n v="1882.0"/>
        <n v="2405.0"/>
        <n v="1577.0"/>
        <n v="913.0"/>
        <n v="892.0"/>
        <n v="1855.0"/>
        <n v="883.0"/>
        <n v="1071.0"/>
        <n v="1320.0"/>
        <n v="997.0"/>
        <n v="817.0"/>
        <n v="2211.0"/>
        <n v="1304.0"/>
        <n v="1143.0"/>
        <n v="1573.0"/>
        <n v="2065.0"/>
        <n v="6588.0"/>
        <n v="5652.0"/>
        <n v="4103.0"/>
        <n v="2162.0"/>
        <n v="2155.0"/>
        <n v="1746.0"/>
        <n v="3554.0"/>
        <n v="6282.0"/>
        <n v="5259.0"/>
        <n v="2446.0"/>
        <n v="3345.0"/>
        <n v="2048.0"/>
        <n v="1303.0"/>
        <n v="4413.0"/>
        <n v="7738.0"/>
        <n v="2958.0"/>
        <n v="3504.0"/>
        <n v="3534.0"/>
        <n v="10045.0"/>
        <n v="9301.0"/>
        <n v="4678.0"/>
        <n v="4294.0"/>
        <n v="3606.0"/>
        <n v="4838.0"/>
        <n v="10269.0"/>
        <n v="12317.0"/>
        <n v="5453.0"/>
        <n v="7372.0"/>
        <n v="8211.0"/>
        <n v="9182.0"/>
        <n v="7520.0"/>
        <n v="13321.0"/>
        <n v="16276.0"/>
        <n v="10388.0"/>
        <n v="8298.0"/>
        <n v="8717.0"/>
        <n v="9973.0"/>
        <n v="11363.0"/>
        <n v="4074.0"/>
        <n v="1579.0"/>
        <n v="1016.0"/>
        <n v="832.0"/>
        <n v="647.0"/>
        <n v="1224.0"/>
        <n v="1019.0"/>
        <n v="930.0"/>
        <n v="818.0"/>
        <n v="937.0"/>
        <n v="2302.0"/>
        <n v="2363.0"/>
        <n v="3224.0"/>
        <n v="7392.0"/>
        <n v="6138.0"/>
        <n v="10624.0"/>
        <n v="11590.0"/>
        <n v="5048.0"/>
        <n v="7542.0"/>
        <n v="10761.0"/>
        <n v="8120.0"/>
        <n v="10896.0"/>
        <n v="11726.0"/>
        <n v="6007.0"/>
        <n v="5185.0"/>
        <n v="1675.0"/>
        <n v="4765.0"/>
        <n v="3953.0"/>
        <n v="7190.0"/>
        <n v="8577.0"/>
        <n v="3943.0"/>
        <n v="3707.0"/>
        <n v="3054.0"/>
        <n v="6541.0"/>
        <n v="5749.0"/>
        <n v="9385.0"/>
        <n v="9012.0"/>
        <n v="3831.0"/>
        <n v="4097.0"/>
        <n v="3509.0"/>
        <n v="953.0"/>
        <n v="4305.0"/>
        <n v="11667.0"/>
        <n v="13793.0"/>
        <n v="6641.0"/>
        <n v="7593.0"/>
        <n v="6345.0"/>
        <n v="8482.0"/>
        <n v="14344.0"/>
        <n v="13609.0"/>
        <n v="8431.0"/>
        <n v="6577.0"/>
        <n v="6098.0"/>
        <n v="1654.0"/>
        <n v="2073.0"/>
        <n v="1871.0"/>
        <n v="946.0"/>
        <n v="1090.0"/>
        <n v="876.0"/>
        <n v="790.0"/>
        <n v="723.0"/>
        <n v="1910.0"/>
        <n v="2266.0"/>
        <n v="1227.0"/>
        <n v="900.0"/>
        <n v="836.0"/>
        <n v="1454.0"/>
        <n v="1835.0"/>
        <n v="972.0"/>
        <n v="1024.0"/>
        <n v="1044.0"/>
        <n v="1611.0"/>
        <n v="1234.0"/>
        <n v="2223.0"/>
        <n v="2267.0"/>
        <n v="1415.0"/>
        <n v="1548.0"/>
        <n v="1679.0"/>
        <n v="1152.0"/>
        <n v="1101.0"/>
        <n v="1700.0"/>
        <n v="715.0"/>
        <n v="897.0"/>
        <n v="733.0"/>
        <n v="4282.0"/>
        <n v="2867.0"/>
        <n v="6082.0"/>
        <n v="7771.0"/>
        <n v="3302.0"/>
        <n v="3536.0"/>
        <n v="3236.0"/>
        <n v="6646.0"/>
        <n v="7220.0"/>
        <n v="3958.0"/>
        <n v="3672.0"/>
        <n v="3549.0"/>
        <n v="6647.0"/>
        <n v="9908.0"/>
        <n v="10393.0"/>
        <n v="4507.0"/>
        <n v="4672.0"/>
        <n v="3924.0"/>
        <n v="6918.0"/>
        <n v="9183.0"/>
        <n v="10830.0"/>
        <n v="10800.0"/>
        <n v="6685.0"/>
        <n v="4519.0"/>
        <n v="1206.0"/>
        <n v="1029.0"/>
        <n v="1917.0"/>
        <n v="2108.0"/>
        <n v="1211.0"/>
        <n v="755.0"/>
        <n v="508.0"/>
        <n v="1010.0"/>
        <n v="1733.0"/>
        <n v="2482.0"/>
        <n v="1235.0"/>
        <n v="1155.0"/>
        <n v="940.0"/>
        <n v="1241.0"/>
        <n v="1039.0"/>
        <n v="1671.0"/>
        <n v="1462.0"/>
        <n v="1581.0"/>
        <n v="1534.0"/>
        <n v="5632.0"/>
        <n v="3173.0"/>
        <n v="3540.0"/>
        <n v="2397.0"/>
        <n v="1955.0"/>
        <n v="1740.0"/>
        <n v="2283.0"/>
        <n v="1284.0"/>
        <n v="1263.0"/>
        <n v="896.0"/>
        <n v="768.0"/>
        <n v="521.0"/>
        <n v="2147.0"/>
        <n v="1335.0"/>
        <n v="1332.0"/>
        <n v="954.0"/>
        <n v="877.0"/>
        <n v="906.0"/>
        <n v="2249.0"/>
        <n v="2472.0"/>
        <n v="1280.0"/>
        <n v="1650.0"/>
        <n v="1257.0"/>
        <n v="2929.0"/>
        <n v="1582.0"/>
        <n v="1639.0"/>
        <n v="2971.0"/>
        <n v="2284.0"/>
        <n v="3938.0"/>
        <n v="4720.0"/>
        <n v="2537.0"/>
        <n v="2621.0"/>
        <n v="2341.0"/>
        <n v="1901.0"/>
        <n v="1666.0"/>
        <n v="3748.0"/>
        <n v="3843.0"/>
        <n v="2281.0"/>
        <n v="2181.0"/>
        <n v="1763.0"/>
      </sharedItems>
    </cacheField>
    <cacheField name="Sales" numFmtId="0">
      <sharedItems containsSemiMixedTypes="0" containsString="0" containsNumber="1">
        <n v="223937.97"/>
        <n v="300345.48"/>
        <n v="86782.47"/>
        <n v="200173.12"/>
        <n v="326906.07"/>
        <n v="307043.94"/>
        <n v="179188.88"/>
        <n v="306351.95"/>
        <n v="224020.41"/>
        <n v="101836.4"/>
        <n v="107804.3"/>
        <n v="144829.96"/>
        <n v="146571.48"/>
        <n v="95422.37"/>
        <n v="114883.17"/>
        <n v="80090.8"/>
        <n v="98945.37"/>
        <n v="84904.9"/>
        <n v="135460.62"/>
        <n v="149925.75"/>
        <n v="74297.31"/>
        <n v="83356.42"/>
        <n v="89922.01"/>
        <n v="57806.3"/>
        <n v="63977.75"/>
        <n v="116958.8"/>
        <n v="155272.82"/>
        <n v="82885.22"/>
        <n v="72353.43"/>
        <n v="50415.9"/>
        <n v="67458.3"/>
        <n v="64640.37"/>
        <n v="137693.87"/>
        <n v="181209.13"/>
        <n v="113433.58"/>
        <n v="143192.53"/>
        <n v="130126.65"/>
        <n v="187155.87"/>
        <n v="102314.71"/>
        <n v="301553.84"/>
        <n v="316073.18"/>
        <n v="135178.04"/>
        <n v="147727.52"/>
        <n v="135498.75"/>
        <n v="163432.85"/>
        <n v="138291.63"/>
        <n v="336901.37"/>
        <n v="367729.27"/>
        <n v="133913.84"/>
        <n v="150800.35"/>
        <n v="55591.93"/>
        <n v="106427.19"/>
        <n v="78940.55"/>
        <n v="317916.32"/>
        <n v="309217.88"/>
        <n v="138491.55"/>
        <n v="133146.22"/>
        <n v="224994.66"/>
        <n v="225051.59"/>
        <n v="344299.68"/>
        <n v="661876.5"/>
        <n v="846678.39"/>
        <n v="478902.3"/>
        <n v="538827.2"/>
        <n v="310346.12"/>
        <n v="256390.52"/>
        <n v="167803.66"/>
        <n v="465318.02"/>
        <n v="520146.75"/>
        <n v="224699.25"/>
        <n v="286230.68"/>
        <n v="187143.02"/>
        <n v="191700.39"/>
        <n v="164663.97"/>
        <n v="395941.35"/>
        <n v="518183.21"/>
        <n v="226617.95"/>
        <n v="243707.87"/>
        <n v="94849.74"/>
        <n v="92386.78"/>
        <n v="180394.83"/>
        <n v="200939.69"/>
        <n v="172953.92"/>
        <n v="70194.8"/>
        <n v="81378.21"/>
        <n v="130227.01"/>
        <n v="125310.04"/>
        <n v="119452.34"/>
        <n v="276174.77"/>
        <n v="357369.27"/>
        <n v="163865.49"/>
        <n v="190719.61"/>
        <n v="244535.21"/>
        <n v="155620.5"/>
        <n v="136001.98"/>
        <n v="190559.89"/>
        <n v="217110.5"/>
        <n v="119190.1"/>
        <n v="131910.2"/>
        <n v="118921.31"/>
        <n v="124828.28"/>
        <n v="179326.49"/>
        <n v="318949.82"/>
        <n v="375031.11"/>
        <n v="166393.54"/>
        <n v="193652.33"/>
        <n v="249805.52"/>
        <n v="294023.41"/>
        <n v="612236.01"/>
        <n v="464815.52"/>
        <n v="360480.94"/>
        <n v="114279.58"/>
        <n v="161170.82"/>
        <n v="182483.15"/>
        <n v="109358.41"/>
        <n v="98430.11"/>
        <n v="295741.35"/>
        <n v="285053.98"/>
        <n v="124964.8"/>
        <n v="124175.81"/>
        <n v="131842.57"/>
        <n v="154850.06"/>
        <n v="180294.27"/>
        <n v="163849.04"/>
        <n v="131436.79"/>
        <n v="93082.04"/>
        <n v="110887.01"/>
        <n v="119385.58"/>
        <n v="91719.59"/>
        <n v="96335.45"/>
        <n v="303226.3"/>
        <n v="431695.71"/>
        <n v="200407.28"/>
        <n v="183413.71"/>
        <n v="146166.6"/>
        <n v="201120.73"/>
        <n v="270123.55"/>
        <n v="415315.38"/>
        <n v="498717.0"/>
        <n v="166433.17"/>
        <n v="168520.63"/>
        <n v="178123.53"/>
        <n v="194878.8"/>
        <n v="115475.1"/>
        <n v="430521.02"/>
        <n v="590642.83"/>
        <n v="210764.72"/>
        <n v="218189.35"/>
        <n v="226132.46"/>
        <n v="243720.87"/>
        <n v="207429.43"/>
        <n v="503149.43"/>
        <n v="603748.79"/>
        <n v="456017.46"/>
        <n v="425845.2"/>
        <n v="328217.77"/>
        <n v="286406.0"/>
        <n v="184989.89"/>
        <n v="288118.3"/>
        <n v="391930.88"/>
        <n v="193772.58"/>
        <n v="214177.98"/>
        <n v="188334.52"/>
        <n v="174324.99"/>
        <n v="200271.56"/>
        <n v="468701.63"/>
        <n v="473425.75"/>
        <n v="224232.12"/>
        <n v="185606.28"/>
        <n v="212687.51"/>
        <n v="184259.69"/>
        <n v="113735.82"/>
        <n v="203165.08"/>
        <n v="203345.24"/>
        <n v="134944.49"/>
        <n v="138298.21"/>
        <n v="36692.68"/>
        <n v="56077.54"/>
        <n v="55780.71"/>
        <n v="131721.24"/>
        <n v="146169.08"/>
        <n v="62073.59"/>
        <n v="93619.85"/>
        <n v="180183.03"/>
        <n v="104760.71"/>
        <n v="93450.53"/>
        <n v="98087.56"/>
        <n v="117562.26"/>
        <n v="70153.08"/>
        <n v="68918.42"/>
        <n v="108417.4"/>
        <n v="81802.61"/>
        <n v="103998.56"/>
        <n v="134018.09"/>
        <n v="99277.3"/>
        <n v="49705.23"/>
        <n v="75384.57"/>
        <n v="110288.23"/>
        <n v="156536.69"/>
        <n v="80823.06"/>
        <n v="124615.69"/>
        <n v="242758.95"/>
        <n v="85078.24"/>
        <n v="86738.07"/>
        <n v="56673.62"/>
        <n v="165742.17"/>
        <n v="95618.25"/>
        <n v="515698.8"/>
        <n v="562590.37"/>
        <n v="266305.93"/>
        <n v="292634.75"/>
        <n v="212360.99"/>
        <n v="198019.33"/>
        <n v="295508.33"/>
        <n v="611894.67"/>
        <n v="628685.22"/>
        <n v="307272.68"/>
        <n v="362106.53"/>
        <n v="262349.59"/>
        <n v="80697.9"/>
        <n v="103272.62"/>
        <n v="439421.42"/>
        <n v="408616.35"/>
        <n v="195866.77"/>
        <n v="232347.35"/>
        <n v="190325.18"/>
        <n v="197698.12"/>
        <n v="177908.84"/>
        <n v="473321.88"/>
        <n v="541600.89"/>
        <n v="239513.98"/>
        <n v="255224.22"/>
        <n v="160372.04"/>
        <n v="171587.33"/>
        <n v="164208.06"/>
        <n v="376778.84"/>
        <n v="453633.47"/>
        <n v="214392.4"/>
        <n v="316404.06"/>
        <n v="242824.5"/>
        <n v="274712.25"/>
        <n v="258066.17"/>
        <n v="594007.21"/>
        <n v="717096.71"/>
        <n v="358171.0"/>
        <n v="594953.63"/>
        <n v="469469.94"/>
        <n v="464067.8"/>
        <n v="312311.95"/>
        <n v="501279.0"/>
        <n v="552703.9"/>
        <n v="234153.76"/>
        <n v="244481.5"/>
        <n v="122749.64"/>
        <n v="78736.4"/>
        <n v="70875.11"/>
        <n v="148634.39"/>
        <n v="171724.83"/>
        <n v="86435.7"/>
        <n v="120236.18"/>
        <n v="83204.2"/>
        <n v="73768.03"/>
        <n v="69425.45"/>
        <n v="137154.95"/>
        <n v="153569.06"/>
        <n v="75633.32"/>
        <n v="90815.93"/>
        <n v="110118.16"/>
        <n v="209908.38"/>
        <n v="358365.68"/>
        <n v="585464.0"/>
        <n v="617019.09"/>
        <n v="283850.6"/>
        <n v="264317.11"/>
        <n v="358024.98"/>
        <n v="594438.28"/>
        <n v="470507.66"/>
        <n v="518693.53"/>
        <n v="656245.83"/>
        <n v="280055.12"/>
        <n v="375648.02"/>
        <n v="78111.72"/>
        <n v="70509.13"/>
        <n v="103281.31"/>
        <n v="179841.43"/>
        <n v="138038.24"/>
        <n v="61037.56"/>
        <n v="86799.76"/>
        <n v="69570.5"/>
        <n v="130476.36"/>
        <n v="95229.77"/>
        <n v="121057.86"/>
        <n v="169498.92"/>
        <n v="90692.38"/>
        <n v="101723.92"/>
        <n v="103395.69"/>
        <n v="99075.6"/>
        <n v="97476.14"/>
        <n v="248974.65"/>
        <n v="302721.68"/>
        <n v="128520.73"/>
        <n v="145185.27"/>
        <n v="89527.56"/>
        <n v="81991.88"/>
        <n v="69704.49"/>
        <n v="166652.39"/>
        <n v="247453.1"/>
        <n v="148476.18"/>
        <n v="205368.92"/>
        <n v="99244.68"/>
        <n v="72756.86"/>
        <n v="86867.46"/>
        <n v="140167.8"/>
        <n v="160727.3"/>
        <n v="74115.63"/>
        <n v="76103.29"/>
        <n v="56303.37"/>
        <n v="49436.82"/>
        <n v="55033.12"/>
        <n v="149808.17"/>
        <n v="180685.51"/>
        <n v="75871.44"/>
        <n v="86313.33"/>
        <n v="62631.8"/>
        <n v="48529.1"/>
        <n v="51040.88"/>
        <n v="53973.92"/>
        <n v="47497.98"/>
        <n v="31219.95"/>
        <n v="26870.32"/>
        <n v="40530.64"/>
        <n v="30371.43"/>
        <n v="37776.66"/>
        <n v="46818.21"/>
        <n v="88321.63"/>
        <n v="101037.83"/>
        <n v="105100.67"/>
        <n v="88219.53"/>
        <n v="71590.37"/>
        <n v="54996.62"/>
        <n v="77884.18"/>
        <n v="150370.12"/>
        <n v="104675.38"/>
        <n v="90121.53"/>
        <n v="75425.44"/>
        <n v="161844.81"/>
        <n v="158603.36"/>
        <n v="279092.1"/>
        <n v="369350.99"/>
        <n v="177500.11"/>
        <n v="282246.63"/>
        <n v="166037.93"/>
        <n v="148911.0"/>
        <n v="202359.14"/>
        <n v="274343.65"/>
        <n v="316167.07"/>
        <n v="173833.4"/>
        <n v="204565.08"/>
        <n v="316394.73"/>
        <n v="486230.32"/>
        <n v="137686.53"/>
        <n v="48102.96"/>
        <n v="110162.13"/>
        <n v="69051.34"/>
        <n v="133307.37"/>
        <n v="216389.5"/>
        <n v="365055.31"/>
        <n v="112161.42"/>
        <n v="271101.46"/>
        <n v="245813.29"/>
        <n v="178394.81"/>
        <n v="220443.63"/>
        <n v="181534.19"/>
        <n v="83176.48"/>
        <n v="76894.78"/>
        <n v="123859.39"/>
        <n v="120807.57"/>
        <n v="69597.37"/>
        <n v="84738.29"/>
        <n v="64653.97"/>
        <n v="59553.39"/>
        <n v="79080.76"/>
        <n v="149444.06"/>
        <n v="170624.08"/>
        <n v="74744.28"/>
        <n v="90144.16"/>
        <n v="97826.81"/>
        <n v="62795.98"/>
        <n v="66550.99"/>
        <n v="154670.89"/>
        <n v="158722.11"/>
        <n v="78092.28"/>
        <n v="91830.4"/>
        <n v="76992.94"/>
        <n v="59897.72"/>
        <n v="57310.19"/>
        <n v="134540.21"/>
        <n v="200193.61"/>
        <n v="171469.93"/>
        <n v="151737.22"/>
        <n v="102072.44"/>
        <n v="82514.11"/>
        <n v="46211.33"/>
        <n v="85730.41"/>
        <n v="105918.29"/>
        <n v="73041.66"/>
        <n v="97908.55"/>
        <n v="138667.42"/>
        <n v="162162.1"/>
        <n v="138520.13"/>
        <n v="358597.43"/>
        <n v="424009.88"/>
        <n v="203861.47"/>
        <n v="220506.21"/>
        <n v="139935.94"/>
        <n v="161064.75"/>
        <n v="144328.55"/>
        <n v="293071.76"/>
        <n v="267782.15"/>
        <n v="136052.69"/>
        <n v="86703.31"/>
        <n v="95474.36"/>
        <n v="198431.63"/>
        <n v="157291.73"/>
        <n v="307540.68"/>
        <n v="350898.76"/>
        <n v="256701.54"/>
        <n v="234705.59"/>
        <n v="249380.57"/>
        <n v="258211.44"/>
        <n v="145975.83"/>
        <n v="269239.85"/>
        <n v="306920.21"/>
        <n v="122106.8"/>
        <n v="117661.28"/>
        <n v="62499.8"/>
        <n v="57063.98"/>
        <n v="48008.48"/>
        <n v="117446.84"/>
        <n v="150591.55"/>
        <n v="67152.47"/>
        <n v="80635.29"/>
        <n v="50669.64"/>
        <n v="48648.99"/>
        <n v="43213.18"/>
        <n v="96881.02"/>
        <n v="121360.89"/>
        <n v="66954.37"/>
        <n v="81342.15"/>
        <n v="125060.71"/>
        <n v="253218.83"/>
        <n v="229184.47"/>
        <n v="354191.35"/>
        <n v="459484.67"/>
        <n v="224102.89"/>
        <n v="215203.56"/>
        <n v="355534.91"/>
        <n v="498894.34"/>
        <n v="715032.19"/>
        <n v="510289.22"/>
        <n v="400302.04"/>
        <n v="135578.2"/>
        <n v="182466.26"/>
        <n v="176814.2"/>
        <n v="100917.67"/>
        <n v="74690.67"/>
        <n v="114067.08"/>
        <n v="126507.8"/>
        <n v="79648.63"/>
        <n v="83137.43"/>
        <n v="40776.03"/>
        <n v="58278.46"/>
        <n v="50000.1"/>
        <n v="103911.92"/>
        <n v="132843.22"/>
        <n v="62786.61"/>
        <n v="57233.41"/>
        <n v="56874.35"/>
        <n v="132737.74"/>
        <n v="60310.34"/>
        <n v="343587.01"/>
        <n v="496882.32"/>
        <n v="200369.83"/>
        <n v="194028.06"/>
        <n v="190560.58"/>
        <n v="198985.4"/>
        <n v="385482.87"/>
        <n v="499703.41"/>
        <n v="461667.0"/>
        <n v="259541.61"/>
        <n v="320309.27"/>
        <n v="239923.0"/>
        <n v="224994.2"/>
        <n v="117197.97"/>
        <n v="330589.2"/>
        <n v="389972.12"/>
        <n v="166536.0"/>
        <n v="198442.91"/>
        <n v="193182.15"/>
        <n v="166403.13"/>
        <n v="149178.6"/>
        <n v="380592.58"/>
        <n v="413700.18"/>
        <n v="177159.67"/>
        <n v="196420.76"/>
        <n v="137940.87"/>
        <n v="166176.28"/>
        <n v="84604.38"/>
        <n v="321821.02"/>
        <n v="418715.41"/>
        <n v="169541.27"/>
        <n v="256434.51"/>
        <n v="199385.91"/>
        <n v="243554.22"/>
        <n v="217746.01"/>
        <n v="472160.75"/>
        <n v="546135.46"/>
        <n v="264637.37"/>
        <n v="440906.0"/>
        <n v="334318.9"/>
        <n v="269835.83"/>
        <n v="201146.49"/>
        <n v="293461.08"/>
        <n v="349413.01"/>
        <n v="179602.92"/>
        <n v="109810.55"/>
        <n v="76956.92"/>
        <n v="71199.59"/>
        <n v="68988.35"/>
        <n v="155156.88"/>
        <n v="185109.52"/>
        <n v="83779.54"/>
        <n v="149501.57"/>
        <n v="100477.3"/>
        <n v="89072.71"/>
        <n v="78746.6"/>
        <n v="141913.38"/>
        <n v="169304.28"/>
        <n v="89512.24"/>
        <n v="85984.08"/>
        <n v="64956.46"/>
        <n v="106613.43"/>
        <n v="183843.82"/>
        <n v="319579.79"/>
        <n v="369245.76"/>
        <n v="185648.49"/>
        <n v="165557.76"/>
        <n v="212465.08"/>
        <n v="305231.91"/>
        <n v="250481.62"/>
        <n v="268410.48"/>
        <n v="316365.5"/>
        <n v="156873.04"/>
        <n v="173987.75"/>
        <n v="135753.77"/>
        <n v="84426.51"/>
        <n v="70815.19"/>
        <n v="125983.15"/>
        <n v="142378.18"/>
        <n v="57427.68"/>
        <n v="63331.33"/>
        <n v="51241.03"/>
        <n v="80326.44"/>
        <n v="71912.57"/>
        <n v="119204.31"/>
        <n v="129441.28"/>
        <n v="77645.75"/>
        <n v="69926.65"/>
        <n v="71973.04"/>
        <n v="44304.9"/>
        <n v="66799.72"/>
        <n v="125689.59"/>
        <n v="138624.95"/>
        <n v="81715.05"/>
        <n v="86842.86"/>
        <n v="56976.79"/>
        <n v="53433.67"/>
        <n v="55134.08"/>
        <n v="145033.61"/>
        <n v="173306.91"/>
        <n v="88154.34"/>
        <n v="81142.03"/>
        <n v="77672.88"/>
        <n v="75483.42"/>
        <n v="74354.57"/>
        <n v="120326.88"/>
        <n v="131867.99"/>
        <n v="75504.0"/>
        <n v="69968.08"/>
        <n v="60187.15"/>
        <n v="44698.7"/>
        <n v="39463.41"/>
        <n v="85794.1"/>
        <n v="117288.01"/>
        <n v="71056.06"/>
        <n v="64394.07"/>
        <n v="35165.97"/>
        <n v="23234.18"/>
        <n v="24754.96"/>
        <n v="76691.28"/>
        <n v="102231.21"/>
        <n v="56974.87"/>
        <n v="59442.73"/>
        <n v="217683.36"/>
        <n v="275458.81"/>
        <n v="228731.87"/>
        <n v="387639.12"/>
        <n v="461188.0"/>
        <n v="202249.68"/>
        <n v="332559.76"/>
        <n v="384806.77"/>
        <n v="345776.25"/>
        <n v="271551.1"/>
        <n v="340440.21"/>
        <n v="364416.73"/>
        <n v="164719.6"/>
        <n v="178921.1"/>
        <n v="70287.0"/>
        <n v="76013.68"/>
        <n v="48406.79"/>
        <n v="85940.03"/>
        <n v="57381.75"/>
        <n v="32479.8"/>
        <n v="52160.18"/>
        <n v="51002.84"/>
        <n v="30194.72"/>
        <n v="29751.22"/>
        <n v="68504.64"/>
        <n v="68996.56"/>
        <n v="41855.93"/>
        <n v="44303.47"/>
        <n v="46599.3"/>
        <n v="125182.76"/>
        <n v="150036.81"/>
        <n v="368037.69"/>
        <n v="351319.64"/>
        <n v="163289.94"/>
        <n v="190892.46"/>
        <n v="143082.13"/>
        <n v="323548.79"/>
        <n v="402312.33"/>
        <n v="393635.17"/>
        <n v="451100.06"/>
        <n v="202902.62"/>
        <n v="294557.65"/>
        <n v="221618.33"/>
        <n v="63968.38"/>
        <n v="59609.54"/>
        <n v="126588.25"/>
        <n v="119755.01"/>
        <n v="57413.41"/>
        <n v="57749.14"/>
        <n v="40140.82"/>
        <n v="42195.82"/>
        <n v="53490.8"/>
        <n v="110809.32"/>
        <n v="111527.01"/>
        <n v="59808.14"/>
        <n v="55166.23"/>
        <n v="42054.68"/>
        <n v="53678.18"/>
        <n v="55930.17"/>
        <n v="185771.0"/>
        <n v="253116.91"/>
        <n v="118618.45"/>
        <n v="123320.78"/>
        <n v="117051.28"/>
        <n v="159299.99"/>
        <n v="119047.41"/>
        <n v="285081.97"/>
        <n v="391656.21"/>
        <n v="274814.78"/>
        <n v="269555.02"/>
        <n v="192001.03"/>
        <n v="201367.79"/>
        <n v="111874.56"/>
        <n v="214540.33"/>
        <n v="280264.24"/>
        <n v="134136.73"/>
        <n v="94243.47"/>
        <n v="131436.2"/>
        <n v="147893.94"/>
        <n v="140238.39"/>
        <n v="358183.77"/>
        <n v="377937.14"/>
        <n v="168729.96"/>
        <n v="177192.57"/>
        <n v="152368.75"/>
        <n v="147471.8"/>
        <n v="145697.15"/>
        <n v="301033.99"/>
        <n v="309518.07"/>
        <n v="152504.63"/>
        <n v="79711.58"/>
        <n v="111021.38"/>
        <n v="243161.26"/>
        <n v="311443.18"/>
        <n v="375876.01"/>
        <n v="434639.66"/>
        <n v="238637.82"/>
        <n v="260653.67"/>
        <n v="262394.78"/>
        <n v="248437.71"/>
        <n v="201048.83"/>
        <n v="317690.76"/>
        <n v="378527.87"/>
        <n v="195425.39"/>
        <n v="90441.6"/>
        <n v="117649.0"/>
        <n v="141285.4"/>
        <n v="133183.69"/>
        <n v="229672.26"/>
        <n v="333488.8"/>
        <n v="185422.89"/>
        <n v="173833.13"/>
        <n v="220271.72"/>
        <n v="234468.07"/>
        <n v="213778.14"/>
        <n v="273563.01"/>
        <n v="337506.79"/>
        <n v="155312.78"/>
        <n v="289243.38"/>
        <n v="313125.33"/>
        <n v="268330.39"/>
        <n v="392228.14"/>
        <n v="133728.98"/>
        <n v="82778.44"/>
        <n v="69522.84"/>
        <n v="133021.27"/>
        <n v="161267.52"/>
        <n v="208583.22"/>
        <n v="325457.53"/>
        <n v="111650.24"/>
        <n v="262421.28"/>
        <n v="164527.54"/>
        <n v="274990.15"/>
        <n v="215737.84"/>
        <n v="98646.98"/>
        <n v="74401.22"/>
        <n v="106592.34"/>
        <n v="134629.66"/>
        <n v="90773.65"/>
        <n v="121373.07"/>
        <n v="99445.56"/>
        <n v="67587.55"/>
        <n v="61685.94"/>
        <n v="150006.93"/>
        <n v="191287.35"/>
        <n v="92595.46"/>
        <n v="96947.05"/>
        <n v="70512.89"/>
        <n v="159590.49"/>
        <n v="67046.27"/>
        <n v="266949.24"/>
        <n v="315272.22"/>
        <n v="149138.92"/>
        <n v="215171.04"/>
        <n v="205197.9"/>
        <n v="214452.25"/>
        <n v="195767.97"/>
        <n v="397984.33"/>
        <n v="512603.1"/>
        <n v="218104.07"/>
        <n v="339004.34"/>
        <n v="278116.37"/>
        <n v="264159.3"/>
        <n v="197778.13"/>
        <n v="325749.01"/>
        <n v="371561.98"/>
        <n v="174581.68"/>
        <n v="208489.37"/>
        <n v="84495.17"/>
        <n v="76661.25"/>
        <n v="64034.94"/>
        <n v="148839.97"/>
        <n v="172541.51"/>
        <n v="87991.66"/>
        <n v="123445.38"/>
        <n v="77344.69"/>
        <n v="158963.02"/>
        <n v="69598.07"/>
        <n v="161275.6"/>
        <n v="325215.08"/>
        <n v="96957.3"/>
        <n v="85224.48"/>
        <n v="54612.88"/>
        <n v="81530.61"/>
        <n v="160947.53"/>
        <n v="188736.25"/>
        <n v="215951.51"/>
        <n v="134995.85"/>
        <n v="163079.38"/>
        <n v="180828.67"/>
        <n v="171196.18"/>
        <n v="129719.05"/>
        <n v="142127.64"/>
        <n v="152124.41"/>
        <n v="74132.79"/>
        <n v="91143.03"/>
        <n v="60528.09"/>
        <n v="38340.6"/>
        <n v="37453.01"/>
        <n v="77997.05"/>
        <n v="79752.28"/>
        <n v="37155.59"/>
        <n v="45046.51"/>
        <n v="55489.33"/>
        <n v="41893.3"/>
        <n v="34348.5"/>
        <n v="78276.83"/>
        <n v="92851.4"/>
        <n v="54845.79"/>
        <n v="48037.8"/>
        <n v="65905.72"/>
        <n v="84870.05"/>
        <n v="262459.51"/>
        <n v="228124.4"/>
        <n v="162929.49"/>
        <n v="58359.83"/>
        <n v="85605.33"/>
        <n v="84836.41"/>
        <n v="64308.91"/>
        <n v="131168.49"/>
        <n v="232410.2"/>
        <n v="195831.1"/>
        <n v="90716.55"/>
        <n v="131638.02"/>
        <n v="81910.87"/>
        <n v="54821.91"/>
        <n v="155615.42"/>
        <n v="264086.89"/>
        <n v="272761.3"/>
        <n v="104689.43"/>
        <n v="131170.6"/>
        <n v="123179.49"/>
        <n v="124431.05"/>
        <n v="162166.84"/>
        <n v="354042.02"/>
        <n v="327352.26"/>
        <n v="164809.3"/>
        <n v="151157.79"/>
        <n v="126895.94"/>
        <n v="166395.45"/>
        <n v="167796.35"/>
        <n v="351146.02"/>
        <n v="420738.82"/>
        <n v="186166.15"/>
        <n v="251449.53"/>
        <n v="280321.81"/>
        <n v="313434.93"/>
        <n v="257324.6"/>
        <n v="455554.34"/>
        <n v="556865.2"/>
        <n v="354856.04"/>
        <n v="283284.58"/>
        <n v="297500.67"/>
        <n v="285968.49"/>
        <n v="237946.63"/>
        <n v="340851.51"/>
        <n v="388187.6"/>
        <n v="139178.98"/>
        <n v="66400.3"/>
        <n v="42723.52"/>
        <n v="35014.4"/>
        <n v="27210.41"/>
        <n v="79840.09"/>
        <n v="82484.45"/>
        <n v="51497.24"/>
        <n v="42871.83"/>
        <n v="39104.64"/>
        <n v="34406.75"/>
        <n v="39403.66"/>
        <n v="96830.9"/>
        <n v="99380.39"/>
        <n v="61656.18"/>
        <n v="69163.56"/>
        <n v="113112.87"/>
        <n v="253686.3"/>
        <n v="210305.29"/>
        <n v="364087.42"/>
        <n v="397480.37"/>
        <n v="204028.18"/>
        <n v="172797.94"/>
        <n v="258970.65"/>
        <n v="368789.57"/>
        <n v="278071.39"/>
        <n v="373959.36"/>
        <n v="402057.25"/>
        <n v="205719.45"/>
        <n v="177626.95"/>
        <n v="70441.91"/>
        <n v="162923.85"/>
        <n v="138752.53"/>
        <n v="252458.26"/>
        <n v="293917.85"/>
        <n v="138350.12"/>
        <n v="130067.28"/>
        <n v="107168.66"/>
        <n v="224030.55"/>
        <n v="201918.22"/>
        <n v="329344.27"/>
        <n v="308642.98"/>
        <n v="134472.41"/>
        <n v="143809.72"/>
        <n v="123252.15"/>
        <n v="40067.15"/>
        <n v="143752.74"/>
        <n v="389904.01"/>
        <n v="461280.79"/>
        <n v="221578.7"/>
        <n v="253702.22"/>
        <n v="200616.08"/>
        <n v="211700.81"/>
        <n v="282757.71"/>
        <n v="479010.16"/>
        <n v="454543.29"/>
        <n v="242185.18"/>
        <n v="281531.69"/>
        <n v="219363.22"/>
        <n v="204005.58"/>
        <n v="69579.07"/>
        <n v="87184.74"/>
        <n v="78700.44"/>
        <n v="39809.56"/>
        <n v="45839.24"/>
        <n v="36851.76"/>
        <n v="33225.67"/>
        <n v="30423.39"/>
        <n v="80345.64"/>
        <n v="95297.34"/>
        <n v="45324.05"/>
        <n v="51604.12"/>
        <n v="37870.12"/>
        <n v="35169.92"/>
        <n v="61148.21"/>
        <n v="77171.7"/>
        <n v="40881.35"/>
        <n v="43085.6"/>
        <n v="43894.99"/>
        <n v="67780.73"/>
        <n v="51907.94"/>
        <n v="93508.63"/>
        <n v="95343.6"/>
        <n v="59514.99"/>
        <n v="65133.97"/>
        <n v="70641.25"/>
        <n v="48442.17"/>
        <n v="46291.37"/>
        <n v="73453.14"/>
        <n v="71508.9"/>
        <n v="30066.13"/>
        <n v="37726.62"/>
        <n v="30831.69"/>
        <n v="146811.46"/>
        <n v="99867.33"/>
        <n v="210664.86"/>
        <n v="266271.04"/>
        <n v="123084.04"/>
        <n v="162727.52"/>
        <n v="114708.95"/>
        <n v="122318.91"/>
        <n v="112010.34"/>
        <n v="229861.47"/>
        <n v="249981.25"/>
        <n v="136480.25"/>
        <n v="127369.8"/>
        <n v="43537.73"/>
        <n v="120407.41"/>
        <n v="226375.54"/>
        <n v="337900.18"/>
        <n v="355069.54"/>
        <n v="153893.69"/>
        <n v="159625.74"/>
        <n v="133961.97"/>
        <n v="236305.16"/>
        <n v="313491.74"/>
        <n v="370355.0"/>
        <n v="369091.06"/>
        <n v="209026.02"/>
        <n v="228177.32"/>
        <n v="154494.78"/>
        <n v="50736.47"/>
        <n v="43292.15"/>
        <n v="77335.92"/>
        <n v="85070.23"/>
        <n v="48831.67"/>
        <n v="52075.16"/>
        <n v="30424.73"/>
        <n v="20495.11"/>
        <n v="40742.17"/>
        <n v="69864.84"/>
        <n v="100120.71"/>
        <n v="49825.1"/>
        <n v="46566.46"/>
        <n v="37923.77"/>
        <n v="50084.81"/>
        <n v="41885.83"/>
        <n v="147503.57"/>
        <n v="151639.18"/>
        <n v="72457.3"/>
        <n v="67355.06"/>
        <n v="58941.79"/>
        <n v="58796.79"/>
        <n v="57019.39"/>
        <n v="155918.38"/>
        <n v="208489.09"/>
        <n v="118580.47"/>
        <n v="142758.88"/>
        <n v="96620.99"/>
        <n v="78861.59"/>
        <n v="70279.47"/>
        <n v="87748.86"/>
        <n v="92053.33"/>
        <n v="51751.38"/>
        <n v="50934.98"/>
        <n v="36113.93"/>
        <n v="31023.36"/>
        <n v="22334.21"/>
        <n v="69440.93"/>
        <n v="92159.03"/>
        <n v="57296.29"/>
        <n v="57184.94"/>
        <n v="40951.1"/>
        <n v="37672.45"/>
        <n v="38648.14"/>
        <n v="96020.55"/>
        <n v="105662.59"/>
        <n v="54738.48"/>
        <n v="40131.57"/>
        <n v="70402.99"/>
        <n v="62501.74"/>
        <n v="53675.22"/>
        <n v="102606.33"/>
        <n v="124988.16"/>
        <n v="67521.04"/>
        <n v="70020.6"/>
        <n v="126954.17"/>
        <n v="97558.25"/>
        <n v="97039.01"/>
        <n v="168349.27"/>
        <n v="202017.42"/>
        <n v="108459.0"/>
        <n v="112536.38"/>
        <n v="100479.93"/>
        <n v="81649.69"/>
        <n v="71529.16"/>
        <n v="160938.6"/>
        <n v="164998.84"/>
        <n v="97946.78"/>
        <n v="87834.25"/>
        <n v="95509.13"/>
        <n v="77229.97"/>
      </sharedItems>
    </cacheField>
    <cacheField name="Unit Price" numFmtId="0">
      <sharedItems containsSemiMixedTypes="0" containsString="0" containsNumber="1">
        <n v="32.8"/>
        <n v="32.41"/>
        <n v="32.42"/>
        <n v="32.44"/>
        <n v="32.43"/>
        <n v="34.06"/>
        <n v="34.13"/>
        <n v="34.11"/>
        <n v="34.1"/>
        <n v="34.08"/>
        <n v="34.14"/>
        <n v="34.12"/>
        <n v="34.09"/>
        <n v="33.92"/>
        <n v="34.18"/>
        <n v="34.17"/>
        <n v="34.16"/>
        <n v="32.47"/>
        <n v="33.79"/>
        <n v="32.48"/>
        <n v="32.46"/>
        <n v="32.45"/>
        <n v="31.64"/>
        <n v="31.07"/>
        <n v="31.81"/>
        <n v="32.06"/>
        <n v="31.92"/>
        <n v="31.91"/>
        <n v="31.7"/>
        <n v="31.74"/>
        <n v="33.08"/>
        <n v="31.98"/>
        <n v="31.99"/>
        <n v="32.04"/>
        <n v="32.05"/>
        <n v="32.62"/>
        <n v="32.57"/>
        <n v="32.54"/>
        <n v="32.52"/>
        <n v="35.04"/>
        <n v="35.03"/>
        <n v="34.07"/>
        <n v="33.72"/>
        <n v="33.97"/>
        <n v="33.98"/>
        <n v="34.2"/>
        <n v="34.02"/>
        <n v="34.03"/>
        <n v="34.29"/>
        <n v="34.35"/>
        <n v="34.58"/>
        <n v="34.23"/>
        <n v="33.33"/>
        <n v="33.32"/>
        <n v="33.34"/>
        <n v="33.35"/>
        <n v="34.64"/>
        <n v="34.72"/>
        <n v="34.79"/>
        <n v="34.63"/>
        <n v="35.21"/>
        <n v="35.19"/>
        <n v="35.77"/>
        <n v="35.55"/>
        <n v="35.23"/>
        <n v="35.16"/>
        <n v="35.92"/>
        <n v="34.26"/>
        <n v="35.91"/>
        <n v="32.51"/>
        <n v="32.16"/>
        <n v="32.13"/>
        <n v="32.07"/>
        <n v="32.37"/>
        <n v="32.09"/>
        <n v="32.11"/>
        <n v="33.75"/>
        <n v="32.17"/>
        <n v="32.18"/>
        <n v="32.31"/>
        <n v="32.2"/>
        <n v="32.14"/>
        <n v="32.12"/>
        <n v="32.0"/>
        <n v="32.1"/>
        <n v="32.03"/>
        <n v="31.79"/>
        <n v="33.2"/>
        <n v="33.01"/>
        <n v="33.61"/>
        <n v="33.46"/>
        <n v="35.05"/>
        <n v="33.31"/>
        <n v="33.37"/>
        <n v="31.87"/>
        <n v="30.84"/>
        <n v="30.72"/>
        <n v="30.75"/>
        <n v="30.76"/>
        <n v="30.7"/>
        <n v="30.73"/>
        <n v="36.72"/>
        <n v="36.67"/>
        <n v="36.77"/>
        <n v="36.73"/>
        <n v="36.75"/>
        <n v="36.78"/>
        <n v="36.76"/>
        <n v="36.68"/>
        <n v="36.7"/>
        <n v="36.8"/>
        <n v="39.4"/>
        <n v="39.39"/>
        <n v="37.62"/>
        <n v="37.66"/>
        <n v="37.75"/>
        <n v="37.61"/>
        <n v="37.54"/>
        <n v="37.6"/>
        <n v="37.63"/>
        <n v="37.58"/>
        <n v="37.59"/>
        <n v="37.5"/>
        <n v="42.13"/>
        <n v="42.33"/>
        <n v="42.36"/>
        <n v="41.92"/>
        <n v="41.87"/>
        <n v="42.84"/>
        <n v="42.93"/>
        <n v="42.72"/>
        <n v="42.71"/>
        <n v="42.54"/>
        <n v="42.18"/>
        <n v="40.65"/>
        <n v="40.13"/>
        <n v="40.2"/>
        <n v="40.69"/>
        <n v="39.94"/>
        <n v="38.6"/>
        <n v="40.56"/>
        <n v="40.53"/>
        <n v="39.52"/>
        <n v="38.15"/>
        <n v="38.45"/>
        <n v="38.26"/>
        <n v="38.32"/>
        <n v="38.54"/>
        <n v="38.53"/>
        <n v="38.27"/>
        <n v="38.42"/>
        <n v="38.24"/>
        <n v="38.28"/>
        <n v="40.8"/>
        <n v="40.68"/>
        <n v="41.17"/>
        <n v="41.15"/>
        <n v="41.18"/>
        <n v="38.59"/>
        <n v="38.57"/>
        <n v="38.61"/>
        <n v="38.58"/>
        <n v="38.56"/>
        <n v="41.16"/>
        <n v="41.19"/>
        <n v="37.71"/>
        <n v="37.72"/>
        <n v="37.7"/>
        <n v="37.73"/>
        <n v="37.69"/>
        <n v="40.33"/>
        <n v="37.74"/>
        <n v="37.77"/>
        <n v="37.84"/>
        <n v="37.76"/>
        <n v="37.79"/>
        <n v="40.67"/>
        <n v="41.65"/>
        <n v="41.69"/>
        <n v="41.74"/>
        <n v="41.82"/>
        <n v="41.88"/>
        <n v="41.94"/>
        <n v="41.93"/>
        <n v="42.04"/>
        <n v="42.06"/>
        <n v="38.64"/>
        <n v="37.8"/>
        <n v="38.69"/>
        <n v="38.7"/>
        <n v="38.63"/>
        <n v="38.62"/>
        <n v="38.67"/>
        <n v="38.75"/>
        <n v="37.92"/>
        <n v="37.82"/>
        <n v="42.05"/>
        <n v="42.02"/>
        <n v="42.03"/>
        <n v="42.01"/>
        <n v="41.95"/>
        <n v="42.0"/>
        <n v="37.78"/>
        <n v="39.41"/>
        <n v="39.43"/>
        <n v="39.6"/>
        <n v="39.15"/>
        <n v="39.34"/>
        <n v="39.21"/>
        <n v="39.18"/>
        <n v="38.89"/>
        <n v="38.83"/>
        <n v="38.96"/>
        <n v="39.13"/>
        <n v="38.99"/>
        <n v="38.8"/>
        <n v="38.52"/>
        <n v="38.81"/>
        <n v="38.73"/>
        <n v="38.65"/>
        <n v="38.74"/>
        <n v="38.78"/>
        <n v="38.92"/>
        <n v="39.04"/>
        <n v="39.12"/>
        <n v="38.97"/>
        <n v="38.84"/>
        <n v="38.51"/>
        <n v="38.17"/>
        <n v="38.13"/>
        <n v="38.18"/>
        <n v="38.23"/>
        <n v="38.08"/>
        <n v="38.1"/>
        <n v="38.14"/>
        <n v="38.47"/>
        <n v="38.5"/>
        <n v="38.19"/>
        <n v="38.9"/>
        <n v="34.28"/>
        <n v="34.27"/>
        <n v="34.21"/>
        <n v="34.24"/>
        <n v="34.32"/>
        <n v="34.22"/>
        <n v="38.76"/>
        <n v="39.29"/>
        <n v="39.17"/>
        <n v="39.06"/>
        <n v="39.25"/>
        <n v="39.23"/>
        <n v="39.03"/>
        <n v="39.07"/>
        <n v="39.42"/>
        <n v="33.4"/>
        <n v="33.36"/>
        <n v="33.38"/>
        <n v="33.48"/>
        <n v="39.44"/>
        <n v="36.84"/>
        <n v="36.83"/>
        <n v="36.86"/>
        <n v="36.85"/>
        <n v="35.15"/>
        <n v="36.88"/>
        <n v="35.13"/>
        <n v="35.14"/>
        <n v="35.09"/>
        <n v="40.31"/>
        <n v="35.11"/>
        <n v="35.08"/>
        <n v="35.06"/>
        <n v="35.1"/>
        <n v="35.12"/>
        <n v="33.59"/>
        <n v="33.39"/>
        <n v="33.43"/>
        <n v="35.07"/>
        <n v="35.25"/>
        <n v="35.5"/>
        <n v="37.04"/>
        <n v="36.89"/>
        <n v="35.39"/>
        <n v="36.98"/>
        <n v="36.87"/>
        <n v="35.46"/>
        <n v="35.61"/>
        <n v="35.33"/>
        <n v="35.3"/>
        <n v="35.56"/>
        <n v="35.44"/>
        <n v="35.29"/>
        <n v="41.07"/>
        <n v="41.11"/>
        <n v="41.12"/>
        <n v="41.09"/>
        <n v="41.13"/>
        <n v="41.14"/>
        <n v="33.42"/>
        <n v="34.25"/>
        <n v="33.44"/>
        <n v="33.41"/>
        <n v="34.34"/>
        <n v="34.31"/>
        <n v="41.99"/>
        <n v="41.98"/>
        <n v="36.55"/>
        <n v="39.11"/>
        <n v="38.46"/>
        <n v="37.9"/>
        <n v="38.38"/>
        <n v="42.08"/>
        <n v="41.9"/>
        <n v="41.1"/>
        <n v="39.84"/>
        <n v="40.36"/>
        <n v="39.71"/>
        <n v="39.81"/>
        <n v="39.37"/>
        <n v="36.91"/>
        <n v="37.0"/>
        <n v="37.24"/>
        <n v="37.09"/>
        <n v="39.35"/>
        <n v="40.0"/>
        <n v="42.07"/>
        <n v="35.26"/>
        <n v="35.24"/>
        <n v="35.2"/>
        <n v="34.39"/>
        <n v="34.15"/>
        <n v="34.19"/>
        <n v="34.3"/>
        <n v="33.45"/>
        <n v="34.83"/>
        <n v="34.42"/>
        <n v="35.0"/>
        <n v="34.74"/>
        <n v="34.59"/>
        <n v="34.61"/>
        <n v="34.62"/>
        <n v="34.48"/>
        <n v="34.69"/>
        <n v="33.93"/>
        <n v="40.34"/>
        <n v="40.32"/>
        <n v="40.3"/>
        <n v="40.35"/>
        <n v="37.19"/>
        <n v="37.17"/>
        <n v="37.02"/>
        <n v="37.37"/>
        <n v="40.39"/>
        <n v="42.87"/>
        <n v="42.92"/>
        <n v="42.96"/>
        <n v="42.66"/>
        <n v="42.69"/>
        <n v="42.74"/>
        <n v="42.76"/>
        <n v="42.67"/>
        <n v="42.61"/>
        <n v="42.7"/>
        <n v="42.68"/>
        <n v="42.73"/>
        <n v="42.82"/>
        <n v="42.75"/>
        <n v="42.8"/>
        <n v="42.94"/>
        <n v="42.95"/>
        <n v="43.79"/>
        <n v="43.81"/>
      </sharedItems>
    </cacheField>
    <cacheField name="Unit Cost Of Sales" numFmtId="2">
      <sharedItems containsSemiMixedTypes="0" containsString="0" containsNumber="1">
        <n v="33.701423758605536"/>
        <n v="33.12323262839879"/>
        <n v="32.85523525018671"/>
        <n v="32.855251821862346"/>
        <n v="33.10256743355811"/>
        <n v="33.1206282998944"/>
        <n v="33.14324402606807"/>
        <n v="33.17591765453006"/>
        <n v="33.212844740269134"/>
        <n v="33.23811705685619"/>
        <n v="33.180265906932576"/>
        <n v="33.28638718794159"/>
        <n v="33.32084477542472"/>
        <n v="33.30692060085837"/>
        <n v="33.2995874146631"/>
        <n v="33.26097103918228"/>
        <n v="33.46848088184637"/>
        <n v="33.46063026896828"/>
        <n v="33.44338205645161"/>
        <n v="33.446030047803326"/>
        <n v="33.44773897058823"/>
        <n v="33.47897666803111"/>
        <n v="33.50603487490523"/>
        <n v="33.54300469483568"/>
        <n v="33.58119123931624"/>
        <n v="33.54478527607362"/>
        <n v="33.59073063380281"/>
        <n v="33.628676834295135"/>
        <n v="33.7161832782239"/>
        <n v="33.71890243902439"/>
        <n v="33.70285714285714"/>
        <n v="33.69864693446089"/>
        <n v="33.65000248138958"/>
        <n v="33.641726998491706"/>
        <n v="33.574253012048196"/>
        <n v="33.52556191839656"/>
        <n v="33.73491467576792"/>
        <n v="33.84430950728661"/>
        <n v="33.6783322324967"/>
        <n v="33.7709166307626"/>
        <n v="33.86615795419534"/>
        <n v="33.997288013451836"/>
        <n v="34.013330404217925"/>
        <n v="33.51489932885906"/>
        <n v="33.13348620210443"/>
        <n v="33.11280347499413"/>
        <n v="33.09121279260187"/>
        <n v="33.00155224144017"/>
        <n v="33.14685728131815"/>
        <n v="32.88602064960206"/>
        <n v="32.860012292563"/>
        <n v="32.83646449253276"/>
        <n v="32.8720303030303"/>
        <n v="32.859599061416034"/>
        <n v="32.75858780188293"/>
        <n v="32.963138173302106"/>
        <n v="32.75825621042377"/>
        <n v="32.801852385757535"/>
        <n v="32.912336313815985"/>
        <n v="33.02072279371955"/>
        <n v="33.00441192021149"/>
        <n v="33.02088564937524"/>
        <n v="33.0281558251133"/>
        <n v="33.02340322198531"/>
        <n v="33.029423843089184"/>
        <n v="33.08683129100136"/>
        <n v="33.14978115141956"/>
        <n v="33.24682839667376"/>
        <n v="33.29842331816504"/>
        <n v="33.30339036213288"/>
        <n v="33.323207568293775"/>
        <n v="33.37964789959909"/>
        <n v="33.39885143147552"/>
        <n v="33.420721914556964"/>
        <n v="33.43189857812114"/>
        <n v="33.459591760065116"/>
        <n v="33.46600172215844"/>
        <n v="33.466002135041364"/>
        <n v="33.45828961950499"/>
        <n v="33.468274554417896"/>
        <n v="33.47141192464556"/>
        <n v="33.481977332170885"/>
        <n v="33.468660858995136"/>
        <n v="33.48058911632551"/>
        <n v="33.449698665518724"/>
        <n v="33.33183935112506"/>
        <n v="33.3538188761593"/>
        <n v="33.35777025119955"/>
        <n v="33.40109471094711"/>
        <n v="33.4902861760791"/>
        <n v="33.50562095595909"/>
        <n v="33.507540748701416"/>
        <n v="33.50114325646401"/>
        <n v="33.52262732240437"/>
        <n v="33.65600950713035"/>
        <n v="33.77875134940626"/>
        <n v="33.78809018987342"/>
        <n v="33.900873223092546"/>
        <n v="33.934727555786196"/>
        <n v="33.97342663523865"/>
        <n v="34.03443727196183"/>
        <n v="34.066635687732344"/>
        <n v="34.08780215188551"/>
        <n v="34.10908355555556"/>
        <n v="34.08053306613226"/>
        <n v="34.11567469879518"/>
        <n v="34.14120981726024"/>
        <n v="34.18233193515474"/>
        <n v="34.18968528803224"/>
        <n v="34.19602152080344"/>
        <n v="34.193231921583134"/>
        <n v="34.176386701662295"/>
        <n v="34.2190897807199"/>
        <n v="34.21821735159817"/>
        <n v="34.235789810958025"/>
        <n v="34.24616589533642"/>
        <n v="34.24236031392761"/>
        <n v="34.25016201729809"/>
        <n v="34.254498886414254"/>
        <n v="34.26064597315436"/>
        <n v="34.254074074074076"/>
        <n v="34.25292178262847"/>
        <n v="34.281157298985164"/>
        <n v="34.33761842392491"/>
        <n v="34.514995942656206"/>
        <n v="34.67127554882664"/>
        <n v="34.70518389346861"/>
        <n v="34.8053880866426"/>
        <n v="34.79909226746358"/>
        <n v="34.92218412225121"/>
        <n v="34.931061320754715"/>
        <n v="34.96571621824741"/>
        <n v="34.97615745990604"/>
        <n v="34.996550504157085"/>
        <n v="35.019584721296916"/>
        <n v="34.87905965136734"/>
        <n v="34.47488106565176"/>
        <n v="34.11775194995753"/>
        <n v="33.963591694609235"/>
        <n v="33.91881540556312"/>
        <n v="33.796711590296496"/>
        <n v="33.828499099099105"/>
        <n v="33.68380065897858"/>
        <n v="33.619210757088574"/>
        <n v="33.56800582785415"/>
        <n v="33.46294345173241"/>
        <n v="33.44068615384615"/>
        <n v="33.41344786729858"/>
        <n v="33.389792111633206"/>
        <n v="33.37238290011875"/>
        <n v="33.36210452853598"/>
        <n v="33.36004924218201"/>
        <n v="33.35602609853529"/>
        <n v="33.353818720045105"/>
        <n v="33.355159173204584"/>
        <n v="33.34770517460628"/>
        <n v="33.34486410601976"/>
        <n v="33.343401348780915"/>
        <n v="33.338540810660746"/>
        <n v="33.33651775486827"/>
        <n v="33.3368742753023"/>
        <n v="33.33664598153474"/>
        <n v="33.33699504865972"/>
        <n v="33.33553140541536"/>
        <n v="33.337243260590505"/>
        <n v="33.334284538909834"/>
        <n v="33.37641844693116"/>
        <n v="33.407814332713485"/>
        <n v="33.40364892881824"/>
        <n v="33.384145054282264"/>
        <n v="33.38969228094576"/>
        <n v="33.41084963666853"/>
        <n v="33.55950972381108"/>
        <n v="33.5852799870151"/>
        <n v="33.71669489414695"/>
        <n v="33.68159448342608"/>
        <n v="33.71447946513849"/>
        <n v="33.68223610243598"/>
        <n v="33.723768844221105"/>
        <n v="33.86603617983506"/>
        <n v="33.79969558964525"/>
        <n v="33.90737584650113"/>
        <n v="33.792806886227545"/>
        <n v="33.80185105969279"/>
        <n v="33.98519397993311"/>
        <n v="34.09339707536558"/>
        <n v="34.091914969632015"/>
        <n v="34.09705812220567"/>
        <n v="34.09202797202798"/>
        <n v="34.057386883579056"/>
        <n v="34.05730446024564"/>
        <n v="34.045605995717345"/>
        <n v="34.12094676549865"/>
        <n v="34.152486274509805"/>
        <n v="34.12936816096011"/>
        <n v="34.087603946441156"/>
        <n v="34.12061831706183"/>
        <n v="34.12877382465057"/>
        <n v="34.122559585492226"/>
        <n v="34.1763589076723"/>
        <n v="34.189536125948834"/>
        <n v="34.172324649298595"/>
        <n v="34.19296128500824"/>
        <n v="34.19930101010101"/>
        <n v="34.16483930778739"/>
        <n v="34.023768115942026"/>
        <n v="33.86474899230487"/>
        <n v="33.85923570484997"/>
        <n v="33.827510234676815"/>
        <n v="33.78067625198002"/>
        <n v="33.76673098247949"/>
        <n v="33.75337049480758"/>
        <n v="33.743661094723045"/>
        <n v="33.731049626701804"/>
        <n v="33.727742619388344"/>
        <n v="33.72781469252992"/>
        <n v="33.72743692600021"/>
        <n v="33.71940465532677"/>
        <n v="33.71762328513162"/>
        <n v="33.71673469387755"/>
        <n v="33.718096369189006"/>
        <n v="33.710649830158026"/>
        <n v="33.70995789640928"/>
        <n v="33.70879144562334"/>
        <n v="33.68741687622241"/>
        <n v="33.67527033941668"/>
        <n v="33.6694238345371"/>
        <n v="33.67138195077484"/>
        <n v="33.69845890176184"/>
        <n v="33.738066043389665"/>
        <n v="33.76736043360434"/>
        <n v="33.76558367243133"/>
        <n v="33.803108682452944"/>
        <n v="33.920244612696564"/>
        <n v="33.93661728896104"/>
        <n v="33.95579184720134"/>
        <n v="34.02997649305811"/>
        <n v="33.989383561643834"/>
        <n v="34.0559780891183"/>
        <n v="34.106905105656914"/>
        <n v="34.160374901784714"/>
        <n v="34.18673452380953"/>
        <n v="34.21534399751514"/>
        <n v="34.22517760617761"/>
        <n v="34.22313326464022"/>
        <n v="34.22756325518951"/>
        <n v="34.234536655549014"/>
        <n v="34.250366887417215"/>
        <n v="34.25591499409681"/>
        <n v="34.25914714898835"/>
        <n v="34.26020850708924"/>
        <n v="34.26356824146982"/>
        <n v="34.25903493340036"/>
        <n v="34.276605766485865"/>
        <n v="34.2997507788162"/>
        <n v="34.349658922392486"/>
        <n v="34.40738802451674"/>
        <n v="34.41179351152826"/>
        <n v="34.433875152006486"/>
        <n v="34.40968531468531"/>
        <n v="34.42249263157895"/>
        <n v="34.42846555819477"/>
        <n v="34.45024217961655"/>
        <n v="34.55348914431673"/>
        <n v="34.537107004334935"/>
        <n v="34.528332561371"/>
        <n v="34.58859567901234"/>
        <n v="34.642192173083046"/>
        <n v="34.62197460120799"/>
        <n v="34.69227103904339"/>
        <n v="34.70730372588157"/>
        <n v="34.75893095651259"/>
        <n v="34.80515033725849"/>
        <n v="34.84877500920584"/>
        <n v="34.86982964842334"/>
        <n v="34.877608837970534"/>
        <n v="34.894299800041374"/>
        <n v="34.901749655948954"/>
        <n v="34.905370123127135"/>
        <n v="34.90669099756691"/>
        <n v="34.90620260816996"/>
        <n v="34.90920075223319"/>
        <n v="34.91522620904836"/>
        <n v="34.911334994660024"/>
        <n v="34.912610918012675"/>
        <n v="34.91014369345397"/>
        <n v="34.914111980734496"/>
        <n v="34.91200423728814"/>
        <n v="35.012639915522705"/>
        <n v="35.0615642615558"/>
        <n v="35.15548050945581"/>
        <n v="35.51466443972062"/>
        <n v="35.67402949468662"/>
        <n v="35.620425445705024"/>
        <n v="35.65481788676524"/>
        <n v="35.67465719360568"/>
        <n v="35.731847463902255"/>
        <n v="35.74645039607695"/>
        <n v="35.68222091137001"/>
        <n v="35.65640320038792"/>
        <n v="35.619426042261566"/>
        <n v="35.61710306406685"/>
        <n v="35.7564887063655"/>
        <n v="35.89271953405018"/>
        <n v="35.98161222339305"/>
        <n v="35.99729336566013"/>
        <n v="36.05331352154532"/>
        <n v="36.06893016344725"/>
        <n v="36.06544346891238"/>
        <n v="36.105375148868596"/>
        <n v="36.74757444504602"/>
        <n v="36.58990472065829"/>
        <n v="36.6843632455669"/>
        <n v="36.71528116213683"/>
        <n v="36.58249491869919"/>
        <n v="36.69028273809524"/>
        <n v="36.73805611222445"/>
        <n v="36.750296803652965"/>
        <n v="36.83302864938609"/>
        <n v="36.89631024096386"/>
        <n v="36.8384589754269"/>
        <n v="36.64145265245414"/>
        <n v="36.751758815846756"/>
        <n v="36.73174774774775"/>
        <n v="36.72312161115415"/>
        <n v="36.76571638501102"/>
        <n v="36.840359094457455"/>
        <n v="36.701506238859174"/>
        <n v="36.49023066485753"/>
        <n v="36.68648985959439"/>
        <n v="36.8535020661157"/>
        <n v="36.74873060648801"/>
        <n v="37.18146590909091"/>
        <n v="37.0917700729927"/>
        <n v="38.6268085106383"/>
        <n v="39.23279157894737"/>
        <n v="39.02784510433387"/>
        <n v="39.41632718894009"/>
        <n v="39.0442432735426"/>
        <n v="39.84139619883041"/>
        <n v="40.55344305120167"/>
        <n v="41.16834794156706"/>
        <n v="41.262441002949856"/>
        <n v="40.9908505850585"/>
        <n v="41.38326706072004"/>
        <n v="41.354949938949936"/>
        <n v="41.30213856146259"/>
        <n v="41.498293153326905"/>
        <n v="41.6992624818728"/>
        <n v="41.52144214162349"/>
        <n v="41.47795123280207"/>
        <n v="41.68317780872795"/>
        <n v="41.69146701164295"/>
        <n v="41.87514561270802"/>
        <n v="41.943262848340574"/>
        <n v="41.89384373488147"/>
        <n v="41.98293327460912"/>
        <n v="41.920404866374156"/>
        <n v="41.99371817948059"/>
        <n v="41.994164620204934"/>
        <n v="42.023262559808614"/>
        <n v="41.94043627031651"/>
        <n v="41.99684603886398"/>
        <n v="42.0290518783542"/>
        <n v="42.015285758418294"/>
        <n v="42.0409773497414"/>
        <n v="42.05551035502958"/>
        <n v="42.055225473321855"/>
        <n v="42.00761355546062"/>
        <n v="42.02397268874588"/>
        <n v="42.04745891003461"/>
        <n v="41.977965716284764"/>
        <n v="41.94026354941552"/>
        <n v="41.94496534653465"/>
        <n v="42.00647751605996"/>
        <n v="42.03595079787234"/>
        <n v="42.05616905248807"/>
        <n v="42.04222485207101"/>
        <n v="42.01532555879494"/>
        <n v="42.025745222929935"/>
        <n v="41.98019363762102"/>
        <n v="41.82079646017699"/>
        <n v="41.893356296500414"/>
        <n v="41.879109555984556"/>
        <n v="41.8754435261708"/>
        <n v="41.62218821379626"/>
        <n v="41.723194444444445"/>
        <n v="42.06169836065573"/>
        <n v="42.049597772277224"/>
        <n v="42.06329252062816"/>
        <n v="42.044726329442284"/>
        <n v="42.063806009488665"/>
        <n v="42.066408071748874"/>
        <n v="42.039818181818184"/>
        <n v="42.057855670103095"/>
        <n v="42.04842672413793"/>
        <n v="41.98945532435741"/>
        <n v="41.91993829699712"/>
        <n v="41.9333637454982"/>
        <n v="41.831370420624154"/>
        <n v="41.80514723678903"/>
        <n v="41.51241396508728"/>
        <n v="41.36122994652407"/>
        <n v="41.19390489913545"/>
        <n v="41.065899727944036"/>
        <n v="41.17600338218715"/>
        <n v="40.8317661900757"/>
        <n v="40.39239869458798"/>
        <n v="40.39586648057688"/>
        <n v="40.216750136091456"/>
        <n v="40.23641031036297"/>
        <n v="40.184037554507434"/>
        <n v="40.152722900480946"/>
        <n v="40.15108108108108"/>
        <n v="40.047815782386216"/>
        <n v="39.98580093676815"/>
        <n v="39.93313561536451"/>
        <n v="39.927976833976835"/>
        <n v="39.9085243593354"/>
        <n v="39.916884700665186"/>
        <n v="39.87486976744186"/>
        <n v="39.86858498023716"/>
        <n v="39.88193222920236"/>
        <n v="39.87174298729322"/>
        <n v="39.847638548308"/>
        <n v="40.34322719449226"/>
        <n v="40.654012935469645"/>
        <n v="40.622057547018166"/>
        <n v="40.65373317198608"/>
        <n v="40.74610697062692"/>
        <n v="40.84448159668222"/>
        <n v="40.87612514029181"/>
        <n v="40.88131044665928"/>
        <n v="40.9287963587323"/>
        <n v="40.889139258222535"/>
        <n v="40.89187747035573"/>
        <n v="40.86455988455988"/>
        <n v="40.8933704974271"/>
        <n v="40.89770066596565"/>
        <n v="40.900691823899365"/>
        <n v="40.95829552421827"/>
        <n v="40.89907605921388"/>
        <n v="40.90159349593496"/>
        <n v="40.91545685279188"/>
        <n v="40.93449523809524"/>
        <n v="40.99162345941351"/>
        <n v="41.00077706141839"/>
        <n v="41.05558425584256"/>
        <n v="41.05870951417004"/>
        <n v="41.17607185990338"/>
        <n v="41.19851282816229"/>
        <n v="41.19814875761066"/>
        <n v="41.17458448753463"/>
        <n v="41.15939331746162"/>
        <n v="41.15880242546741"/>
        <n v="41.15307570977918"/>
        <n v="41.07726462159006"/>
        <n v="41.075478155523584"/>
        <n v="41.060529678918456"/>
        <n v="41.03975560986447"/>
        <n v="41.02572924528302"/>
        <n v="41.02922027290448"/>
        <n v="41.02672249793218"/>
        <n v="41.02809337626495"/>
        <n v="41.03595675234598"/>
        <n v="41.029542447629545"/>
        <n v="41.03031407942238"/>
        <n v="41.029873046875004"/>
        <n v="41.028645294725955"/>
        <n v="40.961045071817736"/>
        <n v="40.79693564862104"/>
        <n v="40.75101573676681"/>
        <n v="40.75783806343907"/>
        <n v="40.80843058350101"/>
        <n v="40.84033102143758"/>
        <n v="40.89062124248497"/>
        <n v="40.8109010989011"/>
        <n v="40.77765705838876"/>
        <n v="40.78625472521082"/>
        <n v="40.75735704323571"/>
        <n v="40.754678362573095"/>
        <n v="40.72626369446135"/>
        <n v="40.73465340799382"/>
        <n v="40.69674910251296"/>
        <n v="40.68153160453809"/>
        <n v="40.67648155339806"/>
        <n v="40.6821560184258"/>
        <n v="40.67457215737806"/>
        <n v="40.66896946877302"/>
        <n v="40.660623419134055"/>
        <n v="40.654666183749846"/>
        <n v="40.65594734291714"/>
        <n v="40.65444873300889"/>
        <n v="40.64925912921348"/>
        <n v="40.64529492455418"/>
        <n v="40.64547778100494"/>
        <n v="40.644682539682535"/>
        <n v="40.64607761080464"/>
        <n v="40.648528722157096"/>
        <n v="40.639811791383224"/>
        <n v="40.642765688259104"/>
        <n v="40.63986810789369"/>
        <n v="40.639339657059466"/>
        <n v="40.64144408945687"/>
        <n v="40.636078770413064"/>
        <n v="40.639376030786146"/>
        <n v="40.639094219390074"/>
        <n v="40.63780815109344"/>
        <n v="40.63893033075299"/>
        <n v="40.63953496755588"/>
        <n v="40.6369213633326"/>
        <n v="40.64367770419426"/>
        <n v="40.643526405451446"/>
        <n v="40.64017976135131"/>
        <n v="40.63837435008666"/>
        <n v="40.63845446549932"/>
        <n v="40.639045250431785"/>
        <n v="40.63756027964046"/>
        <n v="40.63717744695414"/>
        <n v="40.63734965587273"/>
        <n v="40.63963486289871"/>
        <n v="40.636218550506946"/>
        <n v="40.63509453376206"/>
        <n v="40.63692274446245"/>
        <n v="40.63652585119798"/>
        <n v="40.62995790279373"/>
        <n v="40.55343715846994"/>
        <n v="40.536829988193624"/>
        <n v="40.52324604141291"/>
        <n v="40.494102981029805"/>
        <n v="40.496678019981836"/>
        <n v="40.49187751004016"/>
        <n v="40.47311498453753"/>
        <n v="40.42175365344468"/>
        <n v="40.39590094339623"/>
        <n v="40.359349333333334"/>
        <n v="40.28961789099526"/>
        <n v="40.29995281847529"/>
        <n v="40.31100093984962"/>
        <n v="40.28701368523949"/>
        <n v="40.213311772315656"/>
        <n v="40.19435506732814"/>
        <n v="40.15739568345324"/>
        <n v="40.14694556213018"/>
        <n v="40.12466427840327"/>
        <n v="40.10889499389499"/>
        <n v="40.10743671607754"/>
        <n v="40.10643859960903"/>
        <n v="40.10002968093001"/>
        <n v="40.07560325350203"/>
        <n v="40.060950168918914"/>
        <n v="40.055604973696795"/>
        <n v="40.03102267245538"/>
        <n v="40.03237991740926"/>
        <n v="40.02215418870025"/>
        <n v="40.01369914853359"/>
        <n v="40.018402893711745"/>
        <n v="40.02647574334898"/>
        <n v="40.034650904033384"/>
        <n v="40.0293387866394"/>
        <n v="40.180161490683226"/>
        <n v="40.175914307574594"/>
        <n v="39.8684243902439"/>
        <n v="39.89325581395349"/>
        <n v="39.95755700325733"/>
        <n v="39.883633353401564"/>
        <n v="40.13906659939455"/>
        <n v="39.934258533855626"/>
        <n v="40.00638678223185"/>
        <n v="39.81509632224168"/>
        <n v="39.9790369088812"/>
        <n v="40.02093586989874"/>
        <n v="40.18404255319149"/>
        <n v="40.34576576576577"/>
        <n v="40.25102140945584"/>
        <n v="40.090963364993215"/>
        <n v="40.200238957277335"/>
        <n v="40.10172171468728"/>
        <n v="40.074029411764705"/>
        <n v="40.13024477880081"/>
        <n v="40.22527015057573"/>
        <n v="40.07453230472517"/>
        <n v="40.068634778276035"/>
        <n v="40.0535318275154"/>
        <n v="40.05114984391259"/>
        <n v="40.06080310880829"/>
        <n v="40.05945395513577"/>
        <n v="40.11249485596708"/>
        <n v="40.1025"/>
        <n v="40.011829814459375"/>
        <n v="40.008172502134926"/>
        <n v="40.013932367149756"/>
        <n v="40.008406764574985"/>
        <n v="39.929713168187746"/>
        <n v="39.97275991425509"/>
        <n v="39.9439349112426"/>
        <n v="39.95875271149675"/>
        <n v="39.90743377483444"/>
        <n v="39.513483670295486"/>
        <n v="39.228295114656035"/>
        <n v="39.115805005603285"/>
        <n v="39.22903203817314"/>
        <n v="39.12659031413612"/>
        <n v="38.83266194968554"/>
        <n v="38.21932420659614"/>
        <n v="37.87946816479401"/>
        <n v="37.668428949691084"/>
        <n v="37.42051245921092"/>
        <n v="37.2318941315745"/>
        <n v="37.23591091451497"/>
        <n v="37.14147641467531"/>
        <n v="37.00417442090675"/>
        <n v="36.954380196523054"/>
        <n v="36.87194645732689"/>
        <n v="36.843775251338904"/>
        <n v="36.801633333333335"/>
        <n v="36.822404361132364"/>
        <n v="36.817513812154694"/>
        <n v="36.82361040285569"/>
        <n v="36.78290584415584"/>
        <n v="37.17404284412033"/>
        <n v="36.991756296800546"/>
        <n v="37.109396863691195"/>
        <n v="37.36343867569602"/>
        <n v="37.38613076923077"/>
        <n v="37.005769728331174"/>
        <n v="36.95294736842106"/>
        <n v="36.969789173789174"/>
        <n v="36.92614382785957"/>
        <n v="36.76201298701299"/>
        <n v="36.908772241992885"/>
        <n v="37.06153130287648"/>
        <n v="37.20371543624161"/>
        <n v="37.334118432769365"/>
        <n v="37.49236718041704"/>
        <n v="37.76848309270517"/>
        <n v="37.87620837589377"/>
        <n v="37.862073426573424"/>
        <n v="37.99650652985074"/>
        <n v="38.010408542246985"/>
        <n v="38.06761707418151"/>
        <n v="38.13496938254805"/>
        <n v="38.166226680485636"/>
        <n v="38.18575677896467"/>
        <n v="38.16242863615768"/>
        <n v="38.16923749246534"/>
        <n v="38.1891738594328"/>
        <n v="38.185502645502645"/>
        <n v="38.18821550918717"/>
        <n v="38.19680276588739"/>
        <n v="38.198887362637365"/>
        <n v="38.17952901023891"/>
        <n v="38.193605108055"/>
        <n v="38.19556074766355"/>
        <n v="38.17182756079587"/>
        <n v="38.19643416370106"/>
        <n v="38.184379639448565"/>
        <n v="38.1921292023731"/>
        <n v="38.19649749821301"/>
        <n v="38.178209934395504"/>
        <n v="38.20709772226304"/>
        <n v="38.180190274841436"/>
        <n v="38.184650932169774"/>
        <n v="38.18532741559954"/>
        <n v="38.19616842759478"/>
        <n v="38.283172990737974"/>
        <n v="38.45609065155807"/>
        <n v="38.547899382171224"/>
        <n v="38.48631073970907"/>
        <n v="38.497954986418314"/>
        <n v="38.55694564047363"/>
        <n v="38.60814720471913"/>
        <n v="38.53406096227447"/>
        <n v="38.596388409134526"/>
        <n v="38.4889199092654"/>
        <n v="38.417994071146246"/>
        <n v="38.42982308485057"/>
        <n v="38.42934268185802"/>
        <n v="38.52645604395604"/>
        <n v="38.472754491017966"/>
        <n v="38.41436698717949"/>
        <n v="38.34573055028463"/>
        <n v="38.370362500000006"/>
        <n v="38.348718149745196"/>
        <n v="38.351771752251835"/>
        <n v="38.44961274203622"/>
        <n v="38.40049583498612"/>
        <n v="38.375257945647164"/>
        <n v="38.410975725844835"/>
        <n v="38.380537219946994"/>
        <n v="38.39910587136688"/>
        <n v="38.44285779139712"/>
        <n v="38.573222094361334"/>
        <n v="38.39741352607124"/>
        <n v="38.43560759493671"/>
        <n v="38.42495233968804"/>
        <n v="38.320270678313385"/>
        <n v="38.31622012969708"/>
        <n v="38.32057915354482"/>
        <n v="38.39383387028996"/>
        <n v="38.2569244240873"/>
        <n v="38.2443885469628"/>
        <n v="38.23804138321995"/>
        <n v="38.225818213538034"/>
        <n v="38.22189975658332"/>
        <n v="38.22157399646083"/>
        <n v="38.23095186194369"/>
        <n v="38.216373976342126"/>
        <n v="38.13178056426332"/>
        <n v="38.13399318300996"/>
        <n v="38.15121329639889"/>
        <n v="38.16798137144692"/>
        <n v="38.168230736573975"/>
        <n v="38.171200638213"/>
        <n v="38.14868504772004"/>
        <n v="38.17181905988409"/>
        <n v="38.1919377372817"/>
        <n v="38.17457610312345"/>
        <n v="38.17478064516129"/>
        <n v="38.16893150684931"/>
        <n v="38.20674806024646"/>
        <n v="38.163124694973156"/>
        <n v="38.16987701681146"/>
        <n v="38.197768595041325"/>
        <n v="38.19666561844864"/>
        <n v="38.19519656019656"/>
        <n v="38.19000993541977"/>
        <n v="38.18917257683215"/>
        <n v="38.18824675324675"/>
        <n v="38.192105836236934"/>
        <n v="38.19348359966359"/>
        <n v="38.196604791711636"/>
        <n v="38.20329663416169"/>
        <n v="38.19706511565717"/>
        <n v="38.199605879846615"/>
        <n v="38.19663904118322"/>
        <n v="38.15318536585366"/>
        <n v="38.15516867971678"/>
        <n v="38.15755530973451"/>
        <n v="38.17335389360061"/>
        <n v="38.16843921808186"/>
        <n v="38.19632532850022"/>
        <n v="38.165625635808745"/>
        <n v="38.15743483657427"/>
        <n v="38.175401459854015"/>
        <n v="38.15306204136091"/>
        <n v="38.17020285087719"/>
        <n v="38.17224634565778"/>
        <n v="38.19635435168739"/>
        <n v="38.167738650827324"/>
        <n v="38.1651778425656"/>
        <n v="38.18072445561139"/>
        <n v="38.018587223587225"/>
        <n v="37.704705354855236"/>
        <n v="37.57796634093377"/>
        <n v="37.57888071707653"/>
        <n v="37.37202930869704"/>
        <n v="37.03798064085447"/>
        <n v="36.98806544293695"/>
        <n v="36.805844836624146"/>
        <n v="36.73940588235294"/>
        <n v="36.6159797979798"/>
        <n v="36.57658084291188"/>
        <n v="36.55837584950261"/>
        <n v="36.42750492853622"/>
        <n v="36.35791882780083"/>
        <n v="36.35566765063379"/>
        <n v="36.342259762130304"/>
        <n v="36.336202029520294"/>
        <n v="36.36093928080173"/>
        <n v="36.36813537046164"/>
        <n v="36.37714076960546"/>
        <n v="36.37236164383562"/>
        <n v="36.387763934426225"/>
        <n v="36.58483625070582"/>
        <n v="36.672102314250914"/>
        <n v="36.47492836676218"/>
        <n v="36.9623231292517"/>
        <n v="37.082699619771866"/>
        <n v="36.988635460366524"/>
        <n v="37.08864294330519"/>
        <n v="37.346097370476436"/>
        <n v="37.30518358531317"/>
        <n v="37.459051126516464"/>
        <n v="37.45597633136095"/>
        <n v="37.71852421214451"/>
        <n v="36.93540894713059"/>
        <n v="36.92041326067211"/>
        <n v="37.102984802431614"/>
        <n v="37.44567480834373"/>
        <n v="37.64157300115875"/>
        <n v="37.54861592505855"/>
        <n v="38.77142191142191"/>
        <n v="39.188649741631096"/>
        <n v="39.227684304399524"/>
        <n v="39.301339699863576"/>
        <n v="39.438804319876574"/>
        <n v="39.49642933049947"/>
        <n v="39.570698544698544"/>
        <n v="39.53258084971465"/>
        <n v="39.34100766703176"/>
        <n v="39.35896860986547"/>
        <n v="39.38095956873315"/>
        <n v="39.51651027938851"/>
        <n v="39.59550396375991"/>
        <n v="39.5593370681606"/>
        <n v="39.59322727272727"/>
        <n v="39.61430290872618"/>
        <n v="39.52611995104039"/>
        <n v="39.52130760986066"/>
        <n v="39.552948891904116"/>
        <n v="39.590115030674845"/>
        <n v="39.53424321959755"/>
        <n v="39.43031150667514"/>
        <n v="39.45415496368039"/>
        <n v="39.35920765027322"/>
        <n v="39.314994692144374"/>
        <n v="39.345556909578356"/>
        <n v="39.3462278308322"/>
        <n v="39.325800185013875"/>
        <n v="39.255322505800464"/>
        <n v="39.19105956471935"/>
        <n v="38.99524479459764"/>
        <n v="39.05740687679083"/>
        <n v="39.064999049248904"/>
        <n v="39.06096892886345"/>
        <n v="39.073300448430494"/>
        <n v="39.0476123046875"/>
        <n v="38.98696085955488"/>
        <n v="38.88332880126898"/>
        <n v="38.881582599412866"/>
        <n v="38.53249159989661"/>
        <n v="38.407471264367814"/>
        <n v="38.25015082143819"/>
        <n v="37.875273972602734"/>
        <n v="37.603016411997736"/>
        <n v="37.43222125624864"/>
        <n v="37.15284320557491"/>
        <n v="37.129193635093"/>
        <n v="37.444940145361265"/>
        <n v="37.22141825803446"/>
        <n v="37.084381586245144"/>
        <n v="37.00300537412154"/>
        <n v="37.135754985754986"/>
        <n v="37.01413574836887"/>
        <n v="36.97453519525858"/>
        <n v="37.11556574362736"/>
        <n v="37.06661692892023"/>
        <n v="36.83714894653514"/>
        <n v="36.803650620779784"/>
        <n v="36.815449468085106"/>
        <n v="36.725100968395765"/>
        <n v="36.79808736790366"/>
        <n v="36.629876780901036"/>
        <n v="36.75558568329718"/>
        <n v="36.68536881954801"/>
        <n v="36.52642276422764"/>
        <n v="36.52804535017222"/>
        <n v="36.534746816404294"/>
        <n v="36.49077004312242"/>
        <n v="36.50738586156112"/>
        <n v="36.568549715009496"/>
        <n v="36.52853346456693"/>
        <n v="36.5309375"/>
        <n v="36.4299227202473"/>
        <n v="36.39552687038989"/>
        <n v="36.42325854156043"/>
        <n v="36.44766339869281"/>
        <n v="36.44682041216879"/>
        <n v="36.44124731182796"/>
        <n v="36.533410757946214"/>
        <n v="36.5310885805763"/>
        <n v="36.45786272806255"/>
        <n v="36.470380871773166"/>
        <n v="36.46912005457026"/>
        <n v="36.46498783454988"/>
        <n v="36.41895161290322"/>
        <n v="36.38725243506494"/>
        <n v="36.37814923427826"/>
        <n v="36.37988516566265"/>
        <n v="36.38257981018119"/>
        <n v="36.378137271354255"/>
        <n v="36.393781695721074"/>
        <n v="36.38106868204721"/>
        <n v="36.42074714245888"/>
        <n v="36.39756650246305"/>
        <n v="36.373364537444935"/>
        <n v="36.369275967934506"/>
        <n v="36.358944564674545"/>
        <n v="36.379893924783026"/>
        <n v="36.36462686567164"/>
        <n v="36.36782371458552"/>
        <n v="36.37527953453074"/>
        <n v="36.370289290681505"/>
        <n v="36.35927713652793"/>
        <n v="36.35472229267056"/>
        <n v="36.40425411383868"/>
        <n v="36.402475442043226"/>
        <n v="36.37589512306987"/>
        <n v="36.37077230822752"/>
        <n v="36.36156952583911"/>
        <n v="36.35952507767421"/>
        <n v="36.38368050117463"/>
        <n v="36.35682450573591"/>
        <n v="36.344545454545454"/>
        <n v="36.26346274921301"/>
        <n v="36.15784668989547"/>
        <n v="36.202329647724355"/>
        <n v="36.171270209526575"/>
        <n v="36.20683933142599"/>
        <n v="36.14198340576847"/>
        <n v="36.14193108040619"/>
        <n v="36.09516312056738"/>
        <n v="36.06392124498939"/>
        <n v="36.09468697713329"/>
        <n v="36.0413711514439"/>
        <n v="36.02905496624879"/>
        <n v="36.06363183489503"/>
        <n v="36.038672647103546"/>
        <n v="36.03195965890456"/>
        <n v="36.033204353083434"/>
        <n v="36.012793053545586"/>
        <n v="36.00608230892571"/>
        <n v="36.03760042283298"/>
        <n v="35.99192660550458"/>
        <n v="36.04375570776256"/>
        <n v="36.06212658227848"/>
        <n v="36.0356846473029"/>
        <n v="36.01470680628272"/>
        <n v="36.035242718446604"/>
        <n v="36.00167903525046"/>
        <n v="36.04138549307253"/>
        <n v="36.04088888888889"/>
        <n v="36.03089566929134"/>
        <n v="36.04464114832536"/>
        <n v="36.02781980742778"/>
        <n v="36.02933514986376"/>
        <n v="36.027890946502055"/>
        <n v="36.022822265625"/>
        <n v="36.01978927203066"/>
        <n v="36.12423960273122"/>
        <n v="36.09775526742301"/>
        <n v="36.14336032388664"/>
        <n v="36.11569916188795"/>
        <n v="36.14515901060071"/>
        <n v="36.14086563307493"/>
        <n v="36.110512209648604"/>
        <n v="36.12046875"/>
        <n v="36.13384196185286"/>
        <n v="36.303831615120274"/>
        <n v="36.176805882352944"/>
        <n v="36.185300699300704"/>
        <n v="36.22089186176142"/>
        <n v="36.257953615279675"/>
        <n v="36.22971275105091"/>
        <n v="36.2144053017091"/>
        <n v="36.234672804998354"/>
        <n v="36.244810191738516"/>
        <n v="36.242038590604025"/>
        <n v="36.26159819315982"/>
        <n v="36.26834039975772"/>
        <n v="36.283467194570136"/>
        <n v="36.271381334981456"/>
        <n v="36.275975022569966"/>
        <n v="36.30819667590028"/>
        <n v="36.31486356745832"/>
        <n v="36.315403050108934"/>
        <n v="36.376222222222225"/>
        <n v="35.98180332488025"/>
        <n v="36.17115841733113"/>
        <n v="36.21036031489705"/>
        <n v="36.2508957952468"/>
        <n v="36.2550099844686"/>
        <n v="36.2754944349315"/>
        <n v="36.26399592252804"/>
        <n v="36.220359930615786"/>
        <n v="36.26602199716868"/>
        <n v="36.24128162511542"/>
        <n v="36.28171296296296"/>
        <n v="36.30719562019938"/>
        <n v="36.28864472700075"/>
        <n v="36.31529763221951"/>
        <n v="36.34344941956882"/>
        <n v="36.3378814382896"/>
        <n v="36.31305685967658"/>
        <n v="36.33389468690702"/>
        <n v="36.345359207266725"/>
        <n v="36.316142525174286"/>
        <n v="36.28952317880795"/>
        <n v="36.171358267716535"/>
        <n v="36.10372277227723"/>
        <n v="36.090703981534915"/>
        <n v="36.088803384367445"/>
        <n v="36.108340080971665"/>
        <n v="36.06964502164502"/>
        <n v="36.203351063829786"/>
        <n v="36.12587429492345"/>
        <n v="36.15541867179981"/>
        <n v="36.08545802570413"/>
        <n v="36.05592336349122"/>
        <n v="36.0370061213133"/>
        <n v="36.013776181926985"/>
        <n v="36.12365253077975"/>
        <n v="36.15974699557242"/>
        <n v="35.976127770534546"/>
        <n v="35.82458491461101"/>
        <n v="35.762933238636364"/>
        <n v="35.72233217774976"/>
        <n v="35.736254237288136"/>
        <n v="35.666178556529"/>
        <n v="35.63960613810741"/>
        <n v="35.61856896551724"/>
        <n v="35.59127297794117"/>
        <n v="35.57128777923784"/>
        <n v="35.51964953271028"/>
        <n v="35.61661124307205"/>
        <n v="35.58626116071429"/>
        <n v="36.22088541666667"/>
        <n v="37.81975047984645"/>
        <n v="38.362639060568604"/>
        <n v="38.831774569166285"/>
        <n v="39.476621722846446"/>
        <n v="38.86256756756757"/>
        <n v="39.08660377358491"/>
        <n v="38.40189281641961"/>
        <n v="38.673366445916116"/>
        <n v="38.59950200088928"/>
        <n v="38.806642394822006"/>
        <n v="39.05509375"/>
        <n v="38.667765957446804"/>
        <n v="38.45621818181818"/>
        <n v="38.2419018404908"/>
        <n v="38.34680986475736"/>
        <n v="38.52711018711019"/>
        <n v="38.64385455786958"/>
        <n v="38.70652338811631"/>
        <n v="38.02083587553386"/>
        <n v="37.25975765735443"/>
        <n v="37.74250437828371"/>
        <n v="39.458702559576345"/>
        <n v="39.78557389537836"/>
        <n v="40.1259936440678"/>
        <n v="40.303575088687424"/>
        <n v="40.4343685616177"/>
        <n v="40.44958564715933"/>
        <n v="40.54795370857444"/>
        <n v="40.546968787515006"/>
        <n v="40.70315368196372"/>
        <n v="40.66176164454853"/>
        <n v="40.82096010521701"/>
        <n v="40.600327468230695"/>
        <n v="40.39624025676295"/>
        <n v="40.51552467385139"/>
      </sharedItems>
    </cacheField>
    <cacheField name="Cost Of Sales" numFmtId="0">
      <sharedItems containsSemiMixedTypes="0" containsString="0" containsNumber="1">
        <n v="230079.62"/>
        <n v="306986.12"/>
        <n v="87986.32"/>
        <n v="202881.18"/>
        <n v="333806.29"/>
        <n v="313652.35"/>
        <n v="183083.28"/>
        <n v="313446.07"/>
        <n v="229533.97"/>
        <n v="99381.97"/>
        <n v="104816.46"/>
        <n v="141334.0"/>
        <n v="143179.67"/>
        <n v="93126.15"/>
        <n v="112186.31"/>
        <n v="78096.76"/>
        <n v="97159.0"/>
        <n v="83350.43"/>
        <n v="132703.34"/>
        <n v="146928.41"/>
        <n v="72782.28"/>
        <n v="81789.14"/>
        <n v="88388.92"/>
        <n v="57157.28"/>
        <n v="62863.99"/>
        <n v="114823.8"/>
        <n v="152636.28"/>
        <n v="81583.17"/>
        <n v="71377.16"/>
        <n v="49769.1"/>
        <n v="66529.44"/>
        <n v="63757.84"/>
        <n v="135609.51"/>
        <n v="178435.72"/>
        <n v="111466.52"/>
        <n v="140505.63"/>
        <n v="128496.29"/>
        <n v="195078.6"/>
        <n v="101977.99"/>
        <n v="313529.19"/>
        <n v="329754.78"/>
        <n v="141530.71"/>
        <n v="154828.68"/>
        <n v="139824.16"/>
        <n v="166893.37"/>
        <n v="141027.43"/>
        <n v="343519.88"/>
        <n v="373973.59"/>
        <n v="136797.08"/>
        <n v="152887.11"/>
        <n v="53463.24"/>
        <n v="107736.44"/>
        <n v="75934.39"/>
        <n v="322089.79"/>
        <n v="320116.92"/>
        <n v="140752.6"/>
        <n v="134505.4"/>
        <n v="227546.45"/>
        <n v="228214.14"/>
        <n v="365935.65"/>
        <n v="686656.79"/>
        <n v="872081.59"/>
        <n v="495554.45"/>
        <n v="557567.14"/>
        <n v="323325.03"/>
        <n v="267308.51"/>
        <n v="168135.69"/>
        <n v="483774.6"/>
        <n v="541498.96"/>
        <n v="233589.98"/>
        <n v="297642.89"/>
        <n v="191499.04"/>
        <n v="197153.42"/>
        <n v="168975.17"/>
        <n v="406765.91"/>
        <n v="534383.14"/>
        <n v="233191.1"/>
        <n v="250794.22"/>
        <n v="90571.59"/>
        <n v="88255.84"/>
        <n v="172344.3"/>
        <n v="192019.14"/>
        <n v="165201.31"/>
        <n v="67061.62"/>
        <n v="77703.65"/>
        <n v="127394.29"/>
        <n v="122275.1"/>
        <n v="118186.58"/>
        <n v="271550.9"/>
        <n v="352250.83"/>
        <n v="160525.43"/>
        <n v="187072.6"/>
        <n v="239700.68"/>
        <n v="153366.02"/>
        <n v="134523.07"/>
        <n v="187742.3"/>
        <n v="213540.73"/>
        <n v="116856.31"/>
        <n v="130784.44"/>
        <n v="115305.81"/>
        <n v="121264.7"/>
        <n v="183278.5"/>
        <n v="326322.53"/>
        <n v="383727.19"/>
        <n v="170061.86"/>
        <n v="198212.07"/>
        <n v="255956.65"/>
        <n v="301522.35"/>
        <n v="627927.76"/>
        <n v="476692.54"/>
        <n v="369765.61"/>
        <n v="117190.83"/>
        <n v="165415.08"/>
        <n v="187344.74"/>
        <n v="106849.9"/>
        <n v="96197.48"/>
        <n v="292327.03"/>
        <n v="281159.58"/>
        <n v="123042.16"/>
        <n v="122516.07"/>
        <n v="130405.26"/>
        <n v="150644.35"/>
        <n v="175656.65"/>
        <n v="157300.63"/>
        <n v="127601.94"/>
        <n v="91601.51"/>
        <n v="109460.15"/>
        <n v="115693.11"/>
        <n v="93157.17"/>
        <n v="93696.22"/>
        <n v="325836.94"/>
        <n v="465253.82"/>
        <n v="215907.82"/>
        <n v="197835.5"/>
        <n v="157693.19"/>
        <n v="218098.76"/>
        <n v="289864.8"/>
        <n v="441790.77"/>
        <n v="526707.38"/>
        <n v="174376.63"/>
        <n v="175540.12"/>
        <n v="187748.17"/>
        <n v="204460.67"/>
        <n v="115011.32"/>
        <n v="449274.19"/>
        <n v="614245.79"/>
        <n v="217364.46"/>
        <n v="225607.6"/>
        <n v="234496.51"/>
        <n v="252929.29"/>
        <n v="215118.85"/>
        <n v="521651.09"/>
        <n v="626259.39"/>
        <n v="473223.98"/>
        <n v="442155.99"/>
        <n v="340913.59"/>
        <n v="296902.67"/>
        <n v="192824.89"/>
        <n v="300213.56"/>
        <n v="407438.92"/>
        <n v="201254.71"/>
        <n v="220255.22"/>
        <n v="195254.78"/>
        <n v="180978.6"/>
        <n v="207757.7"/>
        <n v="486180.54"/>
        <n v="492135.29"/>
        <n v="233554.03"/>
        <n v="193340.32"/>
        <n v="221403.65"/>
        <n v="192057.51"/>
        <n v="119544.02"/>
        <n v="205350.64"/>
        <n v="206918.91"/>
        <n v="135372.53"/>
        <n v="139206.03"/>
        <n v="35299.06"/>
        <n v="53925.26"/>
        <n v="53688.24"/>
        <n v="127302.43"/>
        <n v="141012.33"/>
        <n v="60083.87"/>
        <n v="90294.38"/>
        <n v="173842.92"/>
        <n v="101615.73"/>
        <n v="90927.09"/>
        <n v="95423.27"/>
        <n v="114395.63"/>
        <n v="68252.24"/>
        <n v="66990.88"/>
        <n v="105373.3"/>
        <n v="79496.49"/>
        <n v="101270.97"/>
        <n v="130633.26"/>
        <n v="96688.5"/>
        <n v="48370.31"/>
        <n v="73393.45"/>
        <n v="107437.38"/>
        <n v="164641.35"/>
        <n v="78844.86"/>
        <n v="121612.18"/>
        <n v="255779.85"/>
        <n v="83020.51"/>
        <n v="84643.27"/>
        <n v="55278.71"/>
        <n v="173725.36"/>
        <n v="92416.9"/>
        <n v="538260.27"/>
        <n v="586670.51"/>
        <n v="277238.01"/>
        <n v="304508.38"/>
        <n v="221017.07"/>
        <n v="205903.82"/>
        <n v="307222.4"/>
        <n v="636341.32"/>
        <n v="653779.96"/>
        <n v="319500.01"/>
        <n v="376645.75"/>
        <n v="272809.29"/>
        <n v="77649.64"/>
        <n v="99367.23"/>
        <n v="456509.62"/>
        <n v="424340.95"/>
        <n v="203331.43"/>
        <n v="241134.53"/>
        <n v="197438.11"/>
        <n v="205114.13"/>
        <n v="184687.53"/>
        <n v="491559.42"/>
        <n v="562953.37"/>
        <n v="249203.12"/>
        <n v="265532.55"/>
        <n v="167021.16"/>
        <n v="174723.18"/>
        <n v="167239.65"/>
        <n v="384006.05"/>
        <n v="463250.07"/>
        <n v="218347.8"/>
        <n v="323293.4"/>
        <n v="259860.51"/>
        <n v="304334.78"/>
        <n v="287168.57"/>
        <n v="660937.8"/>
        <n v="797788.89"/>
        <n v="398562.61"/>
        <n v="662850.99"/>
        <n v="523480.3"/>
        <n v="517180.54"/>
        <n v="348177.12"/>
        <n v="558766.69"/>
        <n v="616169.85"/>
        <n v="261088.39"/>
        <n v="272633.4"/>
        <n v="120070.95"/>
        <n v="77071.54"/>
        <n v="69489.36"/>
        <n v="145956.14"/>
        <n v="168652.2"/>
        <n v="84948.37"/>
        <n v="118094.04"/>
        <n v="81753.42"/>
        <n v="72471.92"/>
        <n v="68280.38"/>
        <n v="135276.91"/>
        <n v="151376.14"/>
        <n v="74546.67"/>
        <n v="89653.64"/>
        <n v="108880.41"/>
        <n v="223554.09"/>
        <n v="382967.98"/>
        <n v="625980.93"/>
        <n v="661010.59"/>
        <n v="304440.65"/>
        <n v="283912.97"/>
        <n v="384823.44"/>
        <n v="639306.57"/>
        <n v="506072.03"/>
        <n v="557939.37"/>
        <n v="705891.3"/>
        <n v="301279.65"/>
        <n v="404178.92"/>
        <n v="74251.87"/>
        <n v="67141.98"/>
        <n v="98065.94"/>
        <n v="170757.58"/>
        <n v="131192.32"/>
        <n v="57992.34"/>
        <n v="82392.33"/>
        <n v="66313.94"/>
        <n v="124398.43"/>
        <n v="91087.85"/>
        <n v="116949.79"/>
        <n v="164492.95"/>
        <n v="87911.21"/>
        <n v="98870.81"/>
        <n v="100424.16"/>
        <n v="96511.72"/>
        <n v="94763.84"/>
        <n v="241961.14"/>
        <n v="294129.67"/>
        <n v="124739.23"/>
        <n v="140651.94"/>
        <n v="87067.05"/>
        <n v="80112.55"/>
        <n v="68293.1"/>
        <n v="163319.72"/>
        <n v="242638.8"/>
        <n v="145646.34"/>
        <n v="201281.24"/>
        <n v="90949.44"/>
        <n v="67872.77"/>
        <n v="84486.09"/>
        <n v="136539.2"/>
        <n v="156700.82"/>
        <n v="71994.35"/>
        <n v="73967.61"/>
        <n v="54996.87"/>
        <n v="48289.89"/>
        <n v="53997.22"/>
        <n v="146994.9"/>
        <n v="176898.28"/>
        <n v="73905.81"/>
        <n v="84418.79"/>
        <n v="61158.36"/>
        <n v="47409.55"/>
        <n v="50038.14"/>
        <n v="47192.5"/>
        <n v="41179.09"/>
        <n v="26893.3"/>
        <n v="23516.04"/>
        <n v="35674.19"/>
        <n v="26054.85"/>
        <n v="32719.69"/>
        <n v="40652.58"/>
        <n v="79880.24"/>
        <n v="93177.88"/>
        <n v="97257.39"/>
        <n v="85533.43"/>
        <n v="69654.93"/>
        <n v="54503.03"/>
        <n v="77619.29"/>
        <n v="154998.83"/>
        <n v="111903.74"/>
        <n v="91081.67"/>
        <n v="77014.26"/>
        <n v="169348.52"/>
        <n v="171692.99"/>
        <n v="301236.11"/>
        <n v="402564.68"/>
        <n v="192327.32"/>
        <n v="304489.64"/>
        <n v="179571.13"/>
        <n v="161137.52"/>
        <n v="221435.77"/>
        <n v="299516.84"/>
        <n v="346378.3"/>
        <n v="190644.5"/>
        <n v="210188.91"/>
        <n v="326627.14"/>
        <n v="495909.09"/>
        <n v="140525.79"/>
        <n v="49028.37"/>
        <n v="112383.56"/>
        <n v="70482.72"/>
        <n v="136003.48"/>
        <n v="235723.76"/>
        <n v="398013.35"/>
        <n v="122170.43"/>
        <n v="295019.47"/>
        <n v="267734.73"/>
        <n v="194427.45"/>
        <n v="239988.03"/>
        <n v="197328.94"/>
        <n v="84728.83"/>
        <n v="78468.1"/>
        <n v="126444.14"/>
        <n v="123392.8"/>
        <n v="71051.36"/>
        <n v="86467.54"/>
        <n v="65980.42"/>
        <n v="60703.36"/>
        <n v="80337.75"/>
        <n v="152030.99"/>
        <n v="173547.03"/>
        <n v="76003.93"/>
        <n v="91110.97"/>
        <n v="99134.31"/>
        <n v="64144.09"/>
        <n v="67952.15"/>
        <n v="158031.79"/>
        <n v="162082.42"/>
        <n v="79795.04"/>
        <n v="93808.09"/>
        <n v="78614.46"/>
        <n v="61194.18"/>
        <n v="58531.41"/>
        <n v="137221.54"/>
        <n v="203814.74"/>
        <n v="174652.46"/>
        <n v="154148.6"/>
        <n v="103634.96"/>
        <n v="83232.39"/>
        <n v="46407.3"/>
        <n v="85765.71"/>
        <n v="105662.56"/>
        <n v="73046.23"/>
        <n v="97097.94"/>
        <n v="148522.85"/>
        <n v="173661.83"/>
        <n v="147756.34"/>
        <n v="382447.08"/>
        <n v="451548.03"/>
        <n v="217065.62"/>
        <n v="234723.22"/>
        <n v="148697.54"/>
        <n v="170739.37"/>
        <n v="152824.11"/>
        <n v="310240.38"/>
        <n v="283430.34"/>
        <n v="144020.12"/>
        <n v="85730.97"/>
        <n v="100867.52"/>
        <n v="209499.79"/>
        <n v="166305.04"/>
        <n v="324997.34"/>
        <n v="375030.64"/>
        <n v="276569.25"/>
        <n v="252709.82"/>
        <n v="268761.83"/>
        <n v="278825.61"/>
        <n v="157578.01"/>
        <n v="291365.02"/>
        <n v="332242.41"/>
        <n v="121394.81"/>
        <n v="116861.16"/>
        <n v="62073.87"/>
        <n v="56638.28"/>
        <n v="47681.67"/>
        <n v="116681.14"/>
        <n v="149573.83"/>
        <n v="66802.98"/>
        <n v="80121.29"/>
        <n v="50308.96"/>
        <n v="48362.07"/>
        <n v="42981.22"/>
        <n v="96453.29"/>
        <n v="120829.29"/>
        <n v="66756.38"/>
        <n v="81132.01"/>
        <n v="136375.15"/>
        <n v="276194.83"/>
        <n v="250361.15"/>
        <n v="386464.65"/>
        <n v="501362.57"/>
        <n v="244359.81"/>
        <n v="234819.45"/>
        <n v="386988.91"/>
        <n v="542483.84"/>
        <n v="777522.19"/>
        <n v="554159.82"/>
        <n v="434872.73"/>
        <n v="147335.93"/>
        <n v="198405.23"/>
        <n v="178390.15"/>
        <n v="100579.13"/>
        <n v="74427.59"/>
        <n v="113653.97"/>
        <n v="126043.77"/>
        <n v="79349.4"/>
        <n v="82700.35"/>
        <n v="39940.2"/>
        <n v="56969.92"/>
        <n v="48827.89"/>
        <n v="101408.95"/>
        <n v="129545.53"/>
        <n v="61213.26"/>
        <n v="55706.88"/>
        <n v="55172.17"/>
        <n v="140263.93"/>
        <n v="58446.05"/>
        <n v="362390.6"/>
        <n v="535306.01"/>
        <n v="210964.77"/>
        <n v="204053.5"/>
        <n v="200804.04"/>
        <n v="209483.88"/>
        <n v="406252.01"/>
        <n v="526206.94"/>
        <n v="496852.8"/>
        <n v="273280.05"/>
        <n v="336742.6"/>
        <n v="251700.97"/>
        <n v="242259.86"/>
        <n v="115769.09"/>
        <n v="355565.04"/>
        <n v="419827.14"/>
        <n v="179243.05"/>
        <n v="213676.43"/>
        <n v="208039.17"/>
        <n v="179221.57"/>
        <n v="160620.21"/>
        <n v="409812.43"/>
        <n v="445569.72"/>
        <n v="190811.58"/>
        <n v="211510.79"/>
        <n v="147846.05"/>
        <n v="178568.18"/>
        <n v="81763.27"/>
        <n v="346487.52"/>
        <n v="450936.28"/>
        <n v="182419.14"/>
        <n v="276173.79"/>
        <n v="214719.75"/>
        <n v="262251.08"/>
        <n v="234483.42"/>
        <n v="508265.15"/>
        <n v="588250.18"/>
        <n v="284828.66"/>
        <n v="474967.33"/>
        <n v="360168.83"/>
        <n v="290492.11"/>
        <n v="216428.5"/>
        <n v="315937.86"/>
        <n v="376094.72"/>
        <n v="193348.59"/>
        <n v="106166.08"/>
        <n v="74212.79"/>
        <n v="68669.39"/>
        <n v="66539.17"/>
        <n v="149423.24"/>
        <n v="178347.37"/>
        <n v="80659.82"/>
        <n v="143962.87"/>
        <n v="96810.1"/>
        <n v="85639.31"/>
        <n v="75673.78"/>
        <n v="136017.75"/>
        <n v="162287.91"/>
        <n v="85781.81"/>
        <n v="82427.23"/>
        <n v="62169.78"/>
        <n v="113428.47"/>
        <n v="195365.73"/>
        <n v="339241.69"/>
        <n v="392017.97"/>
        <n v="197095.11"/>
        <n v="175871.11"/>
        <n v="225678.93"/>
        <n v="324248.84"/>
        <n v="266061.93"/>
        <n v="284592.99"/>
        <n v="335025.08"/>
        <n v="165968.62"/>
        <n v="184188.98"/>
        <n v="143799.6"/>
        <n v="84588.96"/>
        <n v="71913.07"/>
        <n v="127884.59"/>
        <n v="143924.57"/>
        <n v="58723.04"/>
        <n v="64690.06"/>
        <n v="52509.92"/>
        <n v="81730.27"/>
        <n v="73762.63"/>
        <n v="122669.7"/>
        <n v="132493.43"/>
        <n v="79555.63"/>
        <n v="71362.52"/>
        <n v="73851.79"/>
        <n v="45468.84"/>
        <n v="69323.65"/>
        <n v="130428.23"/>
        <n v="143537.4"/>
        <n v="85089.22"/>
        <n v="90242.79"/>
        <n v="59094.08"/>
        <n v="55516.53"/>
        <n v="57064.75"/>
        <n v="149876.87"/>
        <n v="178699.98"/>
        <n v="90828.66"/>
        <n v="83114.58"/>
        <n v="80417.75"/>
        <n v="78024.28"/>
        <n v="76978.31"/>
        <n v="123707.76"/>
        <n v="135721.43"/>
        <n v="77978.69"/>
        <n v="72665.73"/>
        <n v="62538.49"/>
        <n v="46849.57"/>
        <n v="41414.42"/>
        <n v="89898.89"/>
        <n v="122504.36"/>
        <n v="74589.17"/>
        <n v="67505.25"/>
        <n v="36841.97"/>
        <n v="24104.09"/>
        <n v="25407.17"/>
        <n v="78691.96"/>
        <n v="104713.01"/>
        <n v="57548.99"/>
        <n v="59785.43"/>
        <n v="246975.73"/>
        <n v="307092.27"/>
        <n v="252845.45"/>
        <n v="426783.3"/>
        <n v="504578.19"/>
        <n v="220152.19"/>
        <n v="361970.29"/>
        <n v="418101.6"/>
        <n v="373816.17"/>
        <n v="293343.87"/>
        <n v="366359.66"/>
        <n v="392128.3"/>
        <n v="176647.84"/>
        <n v="192507.53"/>
        <n v="66639.7"/>
        <n v="72211.1"/>
        <n v="45316.54"/>
        <n v="81559.85"/>
        <n v="54340.89"/>
        <n v="30763.69"/>
        <n v="49656.01"/>
        <n v="48601.97"/>
        <n v="28605.46"/>
        <n v="28084.24"/>
        <n v="64881.98"/>
        <n v="65211.57"/>
        <n v="39629.45"/>
        <n v="41485.46"/>
        <n v="43806.73"/>
        <n v="138583.84"/>
        <n v="167704.86"/>
        <n v="413540.81"/>
        <n v="397626.59"/>
        <n v="185404.04"/>
        <n v="216571.06"/>
        <n v="162929.02"/>
        <n v="368434.89"/>
        <n v="459285.8"/>
        <n v="448390.97"/>
        <n v="515549.39"/>
        <n v="232360.33"/>
        <n v="336897.92"/>
        <n v="253291.06"/>
        <n v="61942.84"/>
        <n v="57736.48"/>
        <n v="122622.36"/>
        <n v="116003.69"/>
        <n v="55617.58"/>
        <n v="55933.01"/>
        <n v="38881.09"/>
        <n v="40869.25"/>
        <n v="51799.17"/>
        <n v="107331.98"/>
        <n v="108023.61"/>
        <n v="57937.46"/>
        <n v="53436.9"/>
        <n v="40736.15"/>
        <n v="51999.86"/>
        <n v="54177.69"/>
        <n v="192527.01"/>
        <n v="262409.57"/>
        <n v="122915.27"/>
        <n v="128133.78"/>
        <n v="122175.0"/>
        <n v="174699.08"/>
        <n v="124349.27"/>
        <n v="297627.69"/>
        <n v="429832.83"/>
        <n v="287978.17"/>
        <n v="281915.19"/>
        <n v="201125.78"/>
        <n v="220580.0"/>
        <n v="116637.03"/>
        <n v="223738.43"/>
        <n v="306935.16"/>
        <n v="140236.3"/>
        <n v="89949.3"/>
        <n v="143823.39"/>
        <n v="161665.6"/>
        <n v="153481.45"/>
        <n v="391310.32"/>
        <n v="413010.23"/>
        <n v="184673.49"/>
        <n v="193615.3"/>
        <n v="166625.37"/>
        <n v="161402.92"/>
        <n v="159317.61"/>
        <n v="328965.14"/>
        <n v="338720.02"/>
        <n v="167600.65"/>
        <n v="74375.79"/>
        <n v="121456.52"/>
        <n v="266054.37"/>
        <n v="355343.87"/>
        <n v="431325.69"/>
        <n v="498895.62"/>
        <n v="274093.58"/>
        <n v="283981.15"/>
        <n v="285838.56"/>
        <n v="269807.62"/>
        <n v="219110.39"/>
        <n v="345449.53"/>
        <n v="410385.04"/>
        <n v="210461.39"/>
        <n v="83999.59"/>
        <n v="121640.38"/>
        <n v="145443.05"/>
        <n v="137725.88"/>
        <n v="237672.02"/>
        <n v="359621.07"/>
        <n v="191390.4"/>
        <n v="179871.05"/>
        <n v="237123.34"/>
        <n v="251493.91"/>
        <n v="230994.36"/>
        <n v="295854.55"/>
        <n v="362223.16"/>
        <n v="167421.97"/>
        <n v="312784.97"/>
        <n v="338299.62"/>
        <n v="249584.22"/>
        <n v="364396.19"/>
        <n v="124363.56"/>
        <n v="76876.49"/>
        <n v="64616.08"/>
        <n v="123500.79"/>
        <n v="175378.15"/>
        <n v="227060.26"/>
        <n v="353929.74"/>
        <n v="121448.28"/>
        <n v="285675.85"/>
        <n v="179308.95"/>
        <n v="299576.24"/>
        <n v="234642.09"/>
        <n v="91610.56"/>
        <n v="68988.86"/>
        <n v="99021.68"/>
        <n v="124963.47"/>
        <n v="84299.29"/>
        <n v="112550.43"/>
        <n v="92226.52"/>
        <n v="62760.36"/>
        <n v="57191.44"/>
        <n v="139244.9"/>
        <n v="177577.29"/>
        <n v="86018.19"/>
        <n v="89961.36"/>
        <n v="65453.28"/>
        <n v="182351.14"/>
        <n v="61894.26"/>
        <n v="294322.93"/>
        <n v="346093.07"/>
        <n v="163505.71"/>
        <n v="234621.6"/>
        <n v="221931.58"/>
        <n v="231730.23"/>
        <n v="210639.85"/>
        <n v="437198.93"/>
        <n v="561872.21"/>
        <n v="238662.19"/>
        <n v="371177.19"/>
        <n v="295645.63"/>
        <n v="280392.27"/>
        <n v="209372.29"/>
        <n v="345287.81"/>
        <n v="393884.43"/>
        <n v="185040.82"/>
        <n v="221372.84"/>
        <n v="74682.27"/>
        <n v="66379.56"/>
        <n v="55491.34"/>
        <n v="129583.49"/>
        <n v="150538.98"/>
        <n v="76378.5"/>
        <n v="108669.23"/>
        <n v="68269.25"/>
        <n v="167521.53"/>
        <n v="61492.97"/>
        <n v="143446.36"/>
        <n v="345446.0"/>
        <n v="86455.49"/>
        <n v="75960.72"/>
        <n v="49071.8"/>
        <n v="81738.06"/>
        <n v="162597.5"/>
        <n v="183103.23"/>
        <n v="210032.79"/>
        <n v="129938.71"/>
        <n v="160332.59"/>
        <n v="182962.34"/>
        <n v="174428.68"/>
        <n v="131961.93"/>
        <n v="144039.41"/>
        <n v="153377.51"/>
        <n v="74332.28"/>
        <n v="95167.53"/>
        <n v="62342.88"/>
        <n v="35918.34"/>
        <n v="35108.2"/>
        <n v="73051.68"/>
        <n v="74962.82"/>
        <n v="34962.83"/>
        <n v="42368.05"/>
        <n v="52263.06"/>
        <n v="39495.46"/>
        <n v="32292.84"/>
        <n v="73746.76"/>
        <n v="87451.57"/>
        <n v="51625.51"/>
        <n v="45187.64"/>
        <n v="62023.88"/>
        <n v="81472.83"/>
        <n v="259298.46"/>
        <n v="222208.35"/>
        <n v="161434.82"/>
        <n v="57681.57"/>
        <n v="85022.38"/>
        <n v="84595.22"/>
        <n v="68427.59"/>
        <n v="138589.1"/>
        <n v="245358.63"/>
        <n v="205442.83"/>
        <n v="95543.13"/>
        <n v="130700.19"/>
        <n v="79969.51"/>
        <n v="50800.01"/>
        <n v="171592.13"/>
        <n v="291378.58"/>
        <n v="298164.42"/>
        <n v="113609.3"/>
        <n v="142022.81"/>
        <n v="132714.96"/>
        <n v="132889.06"/>
        <n v="172225.65"/>
        <n v="373200.31"/>
        <n v="345338.63"/>
        <n v="175167.43"/>
        <n v="159828.77"/>
        <n v="133726.28"/>
        <n v="179020.54"/>
        <n v="182485.1"/>
        <n v="380098.16"/>
        <n v="455415.35"/>
        <n v="202391.18"/>
        <n v="273255.1"/>
        <n v="302469.83"/>
        <n v="337931.12"/>
        <n v="276852.18"/>
        <n v="489215.07"/>
        <n v="598925.67"/>
        <n v="380511.16"/>
        <n v="304997.85"/>
        <n v="319786.36"/>
        <n v="305507.0"/>
        <n v="254527.42"/>
        <n v="364361.03"/>
        <n v="414644.62"/>
        <n v="148731.09"/>
        <n v="57741.74"/>
        <n v="37112.99"/>
        <n v="30393.74"/>
        <n v="23570.16"/>
        <n v="69078.71"/>
        <n v="71426.01"/>
        <n v="44611.94"/>
        <n v="37139.31"/>
        <n v="33890.36"/>
        <n v="29884.33"/>
        <n v="34229.63"/>
        <n v="83926.0"/>
        <n v="86179.51"/>
        <n v="53463.73"/>
        <n v="59948.44"/>
        <n v="117414.7"/>
        <n v="268974.57"/>
        <n v="223289.08"/>
        <n v="386499.9"/>
        <n v="421674.1"/>
        <n v="216777.32"/>
        <n v="183715.81"/>
        <n v="274386.02"/>
        <n v="391923.66"/>
        <n v="295548.24"/>
        <n v="396324.18"/>
        <n v="426466.13"/>
        <n v="218408.18"/>
        <n v="188629.75"/>
        <n v="60910.75"/>
        <n v="173292.68"/>
        <n v="143791.48"/>
        <n v="261502.38"/>
        <n v="311853.52"/>
        <n v="143346.67"/>
        <n v="134950.57"/>
        <n v="111173.16"/>
        <n v="237934.73"/>
        <n v="209095.57"/>
        <n v="341253.33"/>
        <n v="327672.04"/>
        <n v="139385.88"/>
        <n v="148953.91"/>
        <n v="127533.01"/>
        <n v="34559.08"/>
        <n v="155659.53"/>
        <n v="422372.58"/>
        <n v="498910.33"/>
        <n v="240449.62"/>
        <n v="274426.08"/>
        <n v="217104.58"/>
        <n v="229023.81"/>
        <n v="305894.18"/>
        <n v="517742.19"/>
        <n v="490487.02"/>
        <n v="261534.91"/>
        <n v="304052.48"/>
        <n v="237026.35"/>
        <n v="219722.89"/>
        <n v="59598.92"/>
        <n v="74654.52"/>
        <n v="67367.38"/>
        <n v="34091.57"/>
        <n v="39231.2"/>
        <n v="31574.33"/>
        <n v="28489.08"/>
        <n v="26053.8"/>
        <n v="68788.09"/>
        <n v="81655.86"/>
        <n v="38809.81"/>
        <n v="44222.78"/>
        <n v="32436.8"/>
        <n v="36607.39"/>
        <n v="30133.32"/>
        <n v="52384.45"/>
        <n v="66113.83"/>
        <n v="35019.11"/>
        <n v="36887.37"/>
        <n v="37604.66"/>
        <n v="58196.15"/>
        <n v="44544.63"/>
        <n v="80346.69"/>
        <n v="81874.29"/>
        <n v="51145.4"/>
        <n v="55946.06"/>
        <n v="60629.55"/>
        <n v="41610.78"/>
        <n v="39783.36"/>
        <n v="63386.49"/>
        <n v="61500.57"/>
        <n v="25872.49"/>
        <n v="32490.14"/>
        <n v="26577.08"/>
        <n v="155135.63"/>
        <n v="103826.7"/>
        <n v="220379.28"/>
        <n v="281658.42"/>
        <n v="129601.53"/>
        <n v="168580.17"/>
        <n v="119758.06"/>
        <n v="128298.34"/>
        <n v="117374.19"/>
        <n v="241090.13"/>
        <n v="262145.18"/>
        <n v="143734.23"/>
        <n v="133350.16"/>
        <n v="37649.39"/>
        <n v="127699.42"/>
        <n v="240429.69"/>
        <n v="358772.25"/>
        <n v="376755.56"/>
        <n v="163401.33"/>
        <n v="169479.11"/>
        <n v="142299.92"/>
        <n v="250572.45"/>
        <n v="333030.88"/>
        <n v="392493.08"/>
        <n v="391842.5"/>
        <n v="222163.73"/>
        <n v="242589.59"/>
        <n v="164108.83"/>
        <n v="43830.2"/>
        <n v="37391.68"/>
        <n v="69612.13"/>
        <n v="76591.85"/>
        <n v="44014.23"/>
        <n v="46884.14"/>
        <n v="27398.59"/>
        <n v="18375.05"/>
        <n v="36464.76"/>
        <n v="62545.19"/>
        <n v="89572.41"/>
        <n v="44593.8"/>
        <n v="41660.44"/>
        <n v="34031.15"/>
        <n v="44832.21"/>
        <n v="37565.48"/>
        <n v="131964.52"/>
        <n v="135498.16"/>
        <n v="64758.5"/>
        <n v="60179.02"/>
        <n v="52812.78"/>
        <n v="57168.56"/>
        <n v="55187.38"/>
        <n v="151036.45"/>
        <n v="201416.84"/>
        <n v="113346.96"/>
        <n v="126506.34"/>
        <n v="85491.83"/>
        <n v="69675.43"/>
        <n v="61976.31"/>
        <n v="77446.61"/>
        <n v="81209.25"/>
        <n v="45607.23"/>
        <n v="44983.78"/>
        <n v="31885.29"/>
        <n v="27817.64"/>
        <n v="19704.09"/>
        <n v="62070.75"/>
        <n v="83371.82"/>
        <n v="52701.29"/>
        <n v="51764.94"/>
        <n v="37288.62"/>
        <n v="33678.46"/>
        <n v="35038.07"/>
        <n v="86810.28"/>
        <n v="95930.02"/>
        <n v="49990.52"/>
        <n v="36347.7"/>
        <n v="63452.76"/>
        <n v="56100.87"/>
        <n v="48201.94"/>
        <n v="92657.7"/>
        <n v="113187.85"/>
        <n v="61233.72"/>
        <n v="62316.15"/>
        <n v="110698.74"/>
        <n v="86203.88"/>
        <n v="89413.42"/>
        <n v="156675.59"/>
        <n v="189394.69"/>
        <n v="102250.17"/>
        <n v="105978.48"/>
        <n v="94692.48"/>
        <n v="77081.66"/>
        <n v="67551.25"/>
        <n v="152555.42"/>
        <n v="156263.15"/>
        <n v="93112.61"/>
        <n v="83068.27"/>
        <n v="88104.2"/>
        <n v="71428.87"/>
      </sharedItems>
    </cacheField>
    <cacheField name="Daily Gross Profit" numFmtId="0">
      <sharedItems containsSemiMixedTypes="0" containsString="0" containsNumber="1">
        <n v="-6141.65"/>
        <n v="-6640.64"/>
        <n v="-1203.85"/>
        <n v="-2708.06"/>
        <n v="-6900.22"/>
        <n v="-6608.41"/>
        <n v="-3894.4"/>
        <n v="-7094.12"/>
        <n v="-5513.56"/>
        <n v="2454.43"/>
        <n v="2987.85"/>
        <n v="3495.96"/>
        <n v="3391.81"/>
        <n v="2296.23"/>
        <n v="2696.87"/>
        <n v="1994.04"/>
        <n v="1786.37"/>
        <n v="1554.47"/>
        <n v="2757.28"/>
        <n v="2997.34"/>
        <n v="1515.02"/>
        <n v="1567.29"/>
        <n v="1533.1"/>
        <n v="649.02"/>
        <n v="1113.76"/>
        <n v="2135.0"/>
        <n v="2636.55"/>
        <n v="1302.05"/>
        <n v="976.27"/>
        <n v="646.81"/>
        <n v="928.86"/>
        <n v="882.53"/>
        <n v="2084.37"/>
        <n v="2773.41"/>
        <n v="1967.06"/>
        <n v="2686.9"/>
        <n v="1630.36"/>
        <n v="-7922.73"/>
        <n v="336.72"/>
        <n v="-11975.35"/>
        <n v="-13681.6"/>
        <n v="-6352.67"/>
        <n v="-7101.17"/>
        <n v="-4325.42"/>
        <n v="-3460.52"/>
        <n v="-2735.8"/>
        <n v="-6618.5"/>
        <n v="-6244.33"/>
        <n v="-2883.24"/>
        <n v="-2086.76"/>
        <n v="2128.69"/>
        <n v="-1309.25"/>
        <n v="3006.16"/>
        <n v="-4173.47"/>
        <n v="-10899.05"/>
        <n v="-2261.05"/>
        <n v="-1359.18"/>
        <n v="-2551.79"/>
        <n v="-3162.55"/>
        <n v="-21635.97"/>
        <n v="-24780.29"/>
        <n v="-25403.2"/>
        <n v="-16652.15"/>
        <n v="-18739.93"/>
        <n v="-12978.91"/>
        <n v="-10917.98"/>
        <n v="-332.03"/>
        <n v="-18456.58"/>
        <n v="-21352.21"/>
        <n v="-8890.73"/>
        <n v="-11412.21"/>
        <n v="-4356.02"/>
        <n v="-5453.03"/>
        <n v="-4311.21"/>
        <n v="-10824.57"/>
        <n v="-16199.93"/>
        <n v="-6573.15"/>
        <n v="-7086.35"/>
        <n v="4278.15"/>
        <n v="4130.94"/>
        <n v="8050.52"/>
        <n v="8920.55"/>
        <n v="7752.62"/>
        <n v="3133.18"/>
        <n v="3674.57"/>
        <n v="2832.73"/>
        <n v="3034.93"/>
        <n v="1265.76"/>
        <n v="4623.87"/>
        <n v="5118.44"/>
        <n v="3340.06"/>
        <n v="3647.02"/>
        <n v="4834.52"/>
        <n v="2254.48"/>
        <n v="1478.91"/>
        <n v="2817.59"/>
        <n v="3569.77"/>
        <n v="2333.79"/>
        <n v="1125.75"/>
        <n v="3615.5"/>
        <n v="3563.58"/>
        <n v="-3952.01"/>
        <n v="-7372.71"/>
        <n v="-8696.08"/>
        <n v="-3668.32"/>
        <n v="-4559.74"/>
        <n v="-6151.14"/>
        <n v="-7498.94"/>
        <n v="-15691.75"/>
        <n v="-11877.03"/>
        <n v="-9284.67"/>
        <n v="-2911.25"/>
        <n v="-4244.26"/>
        <n v="-4861.59"/>
        <n v="2508.51"/>
        <n v="2232.63"/>
        <n v="3414.32"/>
        <n v="3894.4"/>
        <n v="1922.64"/>
        <n v="1659.74"/>
        <n v="1437.31"/>
        <n v="4205.71"/>
        <n v="4637.62"/>
        <n v="6548.41"/>
        <n v="3834.85"/>
        <n v="1480.54"/>
        <n v="1426.86"/>
        <n v="3692.47"/>
        <n v="-1437.58"/>
        <n v="2639.23"/>
        <n v="-22610.64"/>
        <n v="-33558.11"/>
        <n v="-15500.55"/>
        <n v="-14421.79"/>
        <n v="-11526.59"/>
        <n v="-16978.03"/>
        <n v="-19741.25"/>
        <n v="-26475.38"/>
        <n v="-27990.38"/>
        <n v="-7943.46"/>
        <n v="-7019.49"/>
        <n v="-9624.64"/>
        <n v="-9581.86"/>
        <n v="463.77"/>
        <n v="-18753.16"/>
        <n v="-23602.97"/>
        <n v="-6599.75"/>
        <n v="-7418.25"/>
        <n v="-8364.05"/>
        <n v="-9208.43"/>
        <n v="-7689.42"/>
        <n v="-18501.65"/>
        <n v="-22510.6"/>
        <n v="-17206.52"/>
        <n v="-16310.8"/>
        <n v="-12695.82"/>
        <n v="-10496.67"/>
        <n v="-7835.0"/>
        <n v="-12095.25"/>
        <n v="-15508.04"/>
        <n v="-7482.13"/>
        <n v="-6077.24"/>
        <n v="-6920.26"/>
        <n v="-6653.61"/>
        <n v="-7486.14"/>
        <n v="-17478.91"/>
        <n v="-18709.54"/>
        <n v="-9321.91"/>
        <n v="-7734.04"/>
        <n v="-8716.14"/>
        <n v="-7797.82"/>
        <n v="-5808.2"/>
        <n v="-2185.56"/>
        <n v="-3573.67"/>
        <n v="-428.04"/>
        <n v="-907.82"/>
        <n v="1393.62"/>
        <n v="2152.29"/>
        <n v="2092.47"/>
        <n v="4418.81"/>
        <n v="5156.75"/>
        <n v="1989.72"/>
        <n v="3325.47"/>
        <n v="6340.11"/>
        <n v="3144.97"/>
        <n v="2523.44"/>
        <n v="2664.28"/>
        <n v="3166.64"/>
        <n v="1900.84"/>
        <n v="1927.53"/>
        <n v="3044.1"/>
        <n v="2306.11"/>
        <n v="2727.59"/>
        <n v="3384.83"/>
        <n v="2588.8"/>
        <n v="1334.92"/>
        <n v="1991.13"/>
        <n v="2850.85"/>
        <n v="-8104.67"/>
        <n v="1978.2"/>
        <n v="3003.51"/>
        <n v="-13020.9"/>
        <n v="2057.73"/>
        <n v="2094.8"/>
        <n v="1394.91"/>
        <n v="-7983.19"/>
        <n v="3201.34"/>
        <n v="-22561.48"/>
        <n v="-24080.15"/>
        <n v="-10932.08"/>
        <n v="-11873.63"/>
        <n v="-8656.08"/>
        <n v="-7884.49"/>
        <n v="-11714.07"/>
        <n v="-24446.64"/>
        <n v="-25094.74"/>
        <n v="-12227.33"/>
        <n v="-14539.22"/>
        <n v="-10459.7"/>
        <n v="3048.27"/>
        <n v="3905.39"/>
        <n v="-17088.2"/>
        <n v="-15724.6"/>
        <n v="-7464.66"/>
        <n v="-8787.17"/>
        <n v="-7112.93"/>
        <n v="-7416.01"/>
        <n v="-6778.69"/>
        <n v="-18237.54"/>
        <n v="-21352.48"/>
        <n v="-9689.14"/>
        <n v="-10308.32"/>
        <n v="-6649.12"/>
        <n v="-3135.84"/>
        <n v="-3031.59"/>
        <n v="-7227.21"/>
        <n v="-9616.6"/>
        <n v="-3955.4"/>
        <n v="-6889.33"/>
        <n v="-17036.01"/>
        <n v="-29622.53"/>
        <n v="-29102.4"/>
        <n v="-66930.59"/>
        <n v="-80692.18"/>
        <n v="-40391.61"/>
        <n v="-67897.36"/>
        <n v="-54010.36"/>
        <n v="-53112.74"/>
        <n v="-35865.17"/>
        <n v="-57487.69"/>
        <n v="-63465.95"/>
        <n v="-26934.62"/>
        <n v="-28151.9"/>
        <n v="2678.69"/>
        <n v="1664.86"/>
        <n v="1385.75"/>
        <n v="2678.25"/>
        <n v="3072.63"/>
        <n v="1487.32"/>
        <n v="2142.14"/>
        <n v="1450.77"/>
        <n v="1296.12"/>
        <n v="1145.06"/>
        <n v="1878.04"/>
        <n v="2192.93"/>
        <n v="1086.65"/>
        <n v="1162.29"/>
        <n v="1237.75"/>
        <n v="-13645.7"/>
        <n v="-24602.3"/>
        <n v="-40516.93"/>
        <n v="-43991.5"/>
        <n v="-20590.05"/>
        <n v="-19595.86"/>
        <n v="-26798.46"/>
        <n v="-44868.29"/>
        <n v="-35564.37"/>
        <n v="-39245.84"/>
        <n v="-49645.47"/>
        <n v="-21224.54"/>
        <n v="-28530.9"/>
        <n v="3859.84"/>
        <n v="3367.15"/>
        <n v="5215.37"/>
        <n v="9083.85"/>
        <n v="6845.92"/>
        <n v="3045.22"/>
        <n v="4407.43"/>
        <n v="3256.56"/>
        <n v="6077.92"/>
        <n v="4141.92"/>
        <n v="4108.07"/>
        <n v="5005.97"/>
        <n v="2781.16"/>
        <n v="2853.1"/>
        <n v="2971.54"/>
        <n v="2563.88"/>
        <n v="2712.3"/>
        <n v="7013.51"/>
        <n v="8592.01"/>
        <n v="3781.49"/>
        <n v="4533.33"/>
        <n v="2460.51"/>
        <n v="1879.33"/>
        <n v="1411.39"/>
        <n v="3332.68"/>
        <n v="4814.3"/>
        <n v="2829.84"/>
        <n v="4087.68"/>
        <n v="8295.24"/>
        <n v="4884.09"/>
        <n v="2381.37"/>
        <n v="3628.6"/>
        <n v="4026.48"/>
        <n v="2121.28"/>
        <n v="2135.69"/>
        <n v="1306.5"/>
        <n v="1146.92"/>
        <n v="1035.9"/>
        <n v="2813.27"/>
        <n v="3787.23"/>
        <n v="1965.63"/>
        <n v="1894.54"/>
        <n v="1473.44"/>
        <n v="1119.55"/>
        <n v="1002.74"/>
        <n v="6781.42"/>
        <n v="6318.89"/>
        <n v="4326.65"/>
        <n v="3354.28"/>
        <n v="4856.45"/>
        <n v="4316.58"/>
        <n v="5056.97"/>
        <n v="6165.63"/>
        <n v="8441.38"/>
        <n v="7859.94"/>
        <n v="7843.27"/>
        <n v="2686.1"/>
        <n v="1935.44"/>
        <n v="493.59"/>
        <n v="264.89"/>
        <n v="-4628.72"/>
        <n v="-7228.36"/>
        <n v="-960.14"/>
        <n v="-1588.81"/>
        <n v="-7503.71"/>
        <n v="-13089.64"/>
        <n v="-22144.01"/>
        <n v="-33213.69"/>
        <n v="-14827.21"/>
        <n v="-22243.01"/>
        <n v="-13533.2"/>
        <n v="-12226.52"/>
        <n v="-19076.63"/>
        <n v="-25173.18"/>
        <n v="-30211.23"/>
        <n v="-16811.1"/>
        <n v="-5623.83"/>
        <n v="-10232.41"/>
        <n v="-9678.77"/>
        <n v="-2839.25"/>
        <n v="-925.4"/>
        <n v="-2221.43"/>
        <n v="-1431.38"/>
        <n v="-2696.11"/>
        <n v="-19334.26"/>
        <n v="-32958.04"/>
        <n v="-10009.01"/>
        <n v="-23918.01"/>
        <n v="-21921.44"/>
        <n v="-16032.64"/>
        <n v="-19544.4"/>
        <n v="-15794.76"/>
        <n v="-1552.35"/>
        <n v="-1573.32"/>
        <n v="-2584.75"/>
        <n v="-2585.23"/>
        <n v="-1454.0"/>
        <n v="-1729.24"/>
        <n v="-1326.45"/>
        <n v="-1149.97"/>
        <n v="-1256.99"/>
        <n v="-2586.93"/>
        <n v="-2922.95"/>
        <n v="-1259.65"/>
        <n v="-966.81"/>
        <n v="-1307.5"/>
        <n v="-1348.11"/>
        <n v="-1401.16"/>
        <n v="-3360.9"/>
        <n v="-3360.31"/>
        <n v="-1702.77"/>
        <n v="-1977.68"/>
        <n v="-1621.52"/>
        <n v="-1296.46"/>
        <n v="-1221.22"/>
        <n v="-2681.32"/>
        <n v="-3621.12"/>
        <n v="-3182.53"/>
        <n v="-2411.38"/>
        <n v="-1562.52"/>
        <n v="-718.29"/>
        <n v="-195.97"/>
        <n v="-35.29"/>
        <n v="255.74"/>
        <n v="-4.57"/>
        <n v="810.61"/>
        <n v="-9855.43"/>
        <n v="-11499.72"/>
        <n v="-9236.22"/>
        <n v="-23849.65"/>
        <n v="-27538.15"/>
        <n v="-13204.14"/>
        <n v="-14217.01"/>
        <n v="-8761.61"/>
        <n v="-9674.61"/>
        <n v="-8495.57"/>
        <n v="-17168.62"/>
        <n v="-15648.18"/>
        <n v="-7967.43"/>
        <n v="972.35"/>
        <n v="-5393.17"/>
        <n v="-11068.17"/>
        <n v="-9013.3"/>
        <n v="-17456.66"/>
        <n v="-24131.87"/>
        <n v="-19867.71"/>
        <n v="-18004.23"/>
        <n v="-19381.27"/>
        <n v="-20614.16"/>
        <n v="-11602.17"/>
        <n v="-22125.16"/>
        <n v="-25322.2"/>
        <n v="711.98"/>
        <n v="800.12"/>
        <n v="425.93"/>
        <n v="425.7"/>
        <n v="326.81"/>
        <n v="765.7"/>
        <n v="1017.72"/>
        <n v="349.49"/>
        <n v="514.0"/>
        <n v="360.68"/>
        <n v="286.92"/>
        <n v="231.96"/>
        <n v="427.73"/>
        <n v="531.6"/>
        <n v="197.99"/>
        <n v="210.14"/>
        <n v="-11314.44"/>
        <n v="-22976.0"/>
        <n v="-21176.68"/>
        <n v="-32273.3"/>
        <n v="-41877.91"/>
        <n v="-20256.92"/>
        <n v="-19615.89"/>
        <n v="-31454.0"/>
        <n v="-43589.49"/>
        <n v="-62490.0"/>
        <n v="-43870.6"/>
        <n v="-34570.69"/>
        <n v="-11757.72"/>
        <n v="-15938.97"/>
        <n v="-1575.95"/>
        <n v="338.54"/>
        <n v="263.09"/>
        <n v="413.1"/>
        <n v="464.03"/>
        <n v="299.23"/>
        <n v="437.08"/>
        <n v="835.83"/>
        <n v="1308.54"/>
        <n v="1172.22"/>
        <n v="2502.97"/>
        <n v="3297.69"/>
        <n v="1573.36"/>
        <n v="1526.53"/>
        <n v="1702.17"/>
        <n v="-7526.19"/>
        <n v="1864.28"/>
        <n v="-18803.59"/>
        <n v="-38423.69"/>
        <n v="-10594.94"/>
        <n v="-10025.44"/>
        <n v="-10243.46"/>
        <n v="-10498.48"/>
        <n v="-20769.14"/>
        <n v="-26503.52"/>
        <n v="-35185.8"/>
        <n v="-13738.44"/>
        <n v="-16433.33"/>
        <n v="-11777.97"/>
        <n v="-17265.66"/>
        <n v="1428.89"/>
        <n v="-24975.84"/>
        <n v="-29855.02"/>
        <n v="-12707.05"/>
        <n v="-15233.52"/>
        <n v="-14857.02"/>
        <n v="-12818.45"/>
        <n v="-11441.61"/>
        <n v="-29219.86"/>
        <n v="-31869.54"/>
        <n v="-13651.9"/>
        <n v="-15090.02"/>
        <n v="-9905.18"/>
        <n v="-12391.9"/>
        <n v="2841.11"/>
        <n v="-24666.5"/>
        <n v="-32220.87"/>
        <n v="-12877.88"/>
        <n v="-19739.28"/>
        <n v="-15333.84"/>
        <n v="-18696.86"/>
        <n v="-16737.4"/>
        <n v="-36104.39"/>
        <n v="-42114.72"/>
        <n v="-20191.29"/>
        <n v="-34061.33"/>
        <n v="-25849.93"/>
        <n v="-20656.28"/>
        <n v="-15282.01"/>
        <n v="-22476.78"/>
        <n v="-26681.71"/>
        <n v="-13745.68"/>
        <n v="3644.46"/>
        <n v="2744.13"/>
        <n v="2530.19"/>
        <n v="2449.18"/>
        <n v="5733.64"/>
        <n v="6762.15"/>
        <n v="3119.72"/>
        <n v="5538.7"/>
        <n v="3667.19"/>
        <n v="3433.4"/>
        <n v="3072.81"/>
        <n v="5895.63"/>
        <n v="7016.37"/>
        <n v="3730.44"/>
        <n v="3556.84"/>
        <n v="2786.68"/>
        <n v="-6815.04"/>
        <n v="-11521.91"/>
        <n v="-19661.9"/>
        <n v="-22772.21"/>
        <n v="-11446.62"/>
        <n v="-10313.35"/>
        <n v="-13213.85"/>
        <n v="-19016.93"/>
        <n v="-15580.31"/>
        <n v="-16182.51"/>
        <n v="-18659.58"/>
        <n v="-9095.58"/>
        <n v="-10201.23"/>
        <n v="-8045.83"/>
        <n v="-162.45"/>
        <n v="-1097.88"/>
        <n v="-1901.44"/>
        <n v="-1546.38"/>
        <n v="-1295.36"/>
        <n v="-1358.73"/>
        <n v="-1268.89"/>
        <n v="-1403.83"/>
        <n v="-1850.06"/>
        <n v="-3465.39"/>
        <n v="-3052.15"/>
        <n v="-1909.88"/>
        <n v="-1435.87"/>
        <n v="-1878.74"/>
        <n v="-1163.94"/>
        <n v="-2523.92"/>
        <n v="-4738.63"/>
        <n v="-4912.45"/>
        <n v="-3374.18"/>
        <n v="-3399.93"/>
        <n v="-2117.29"/>
        <n v="-2082.86"/>
        <n v="-1930.67"/>
        <n v="-4843.26"/>
        <n v="-5393.07"/>
        <n v="-2674.32"/>
        <n v="-1972.55"/>
        <n v="-2744.86"/>
        <n v="-2540.86"/>
        <n v="-2623.74"/>
        <n v="-3380.89"/>
        <n v="-3853.43"/>
        <n v="-2474.69"/>
        <n v="-2697.65"/>
        <n v="-2351.34"/>
        <n v="-2150.87"/>
        <n v="-1951.01"/>
        <n v="-4104.8"/>
        <n v="-5216.35"/>
        <n v="-3533.11"/>
        <n v="-3111.18"/>
        <n v="-1676.0"/>
        <n v="-869.9"/>
        <n v="-652.22"/>
        <n v="-2000.67"/>
        <n v="-2481.8"/>
        <n v="-574.12"/>
        <n v="-342.7"/>
        <n v="-29292.37"/>
        <n v="-31633.47"/>
        <n v="-24113.58"/>
        <n v="-39144.18"/>
        <n v="-43390.18"/>
        <n v="-17902.51"/>
        <n v="-29410.52"/>
        <n v="-33294.83"/>
        <n v="-28039.92"/>
        <n v="-21792.78"/>
        <n v="-25919.45"/>
        <n v="-27711.57"/>
        <n v="-11928.24"/>
        <n v="-13586.43"/>
        <n v="3647.3"/>
        <n v="3802.57"/>
        <n v="3090.24"/>
        <n v="4380.18"/>
        <n v="3040.86"/>
        <n v="1716.11"/>
        <n v="2504.18"/>
        <n v="2400.87"/>
        <n v="1589.26"/>
        <n v="1666.99"/>
        <n v="3622.66"/>
        <n v="3784.99"/>
        <n v="2226.48"/>
        <n v="2818.01"/>
        <n v="2792.57"/>
        <n v="-13401.08"/>
        <n v="-17668.05"/>
        <n v="-45503.12"/>
        <n v="-46306.95"/>
        <n v="-22114.11"/>
        <n v="-25678.6"/>
        <n v="-19846.89"/>
        <n v="-44886.1"/>
        <n v="-56973.47"/>
        <n v="-54755.79"/>
        <n v="-64449.33"/>
        <n v="-29457.7"/>
        <n v="-42340.28"/>
        <n v="-31672.73"/>
        <n v="2025.54"/>
        <n v="1873.07"/>
        <n v="3965.89"/>
        <n v="3751.32"/>
        <n v="1795.83"/>
        <n v="1816.13"/>
        <n v="1259.73"/>
        <n v="1326.57"/>
        <n v="1691.63"/>
        <n v="3477.34"/>
        <n v="3503.41"/>
        <n v="1870.68"/>
        <n v="1729.33"/>
        <n v="1318.53"/>
        <n v="1678.32"/>
        <n v="1752.48"/>
        <n v="-6756.01"/>
        <n v="-9292.66"/>
        <n v="-4296.81"/>
        <n v="-4812.99"/>
        <n v="-5123.72"/>
        <n v="-15399.09"/>
        <n v="-5301.86"/>
        <n v="-12545.72"/>
        <n v="-38176.62"/>
        <n v="-13163.4"/>
        <n v="-12360.17"/>
        <n v="-9124.74"/>
        <n v="-19212.21"/>
        <n v="-4762.48"/>
        <n v="-9198.1"/>
        <n v="-26670.92"/>
        <n v="-6099.57"/>
        <n v="4294.16"/>
        <n v="-12387.19"/>
        <n v="-13771.66"/>
        <n v="-13243.06"/>
        <n v="-33126.55"/>
        <n v="-35073.09"/>
        <n v="-15943.53"/>
        <n v="-16422.73"/>
        <n v="-14256.62"/>
        <n v="-13931.11"/>
        <n v="-13620.46"/>
        <n v="-27931.16"/>
        <n v="-29201.95"/>
        <n v="-15096.02"/>
        <n v="5335.79"/>
        <n v="-10435.14"/>
        <n v="-22893.11"/>
        <n v="-43900.69"/>
        <n v="-55449.67"/>
        <n v="-64255.96"/>
        <n v="-35455.76"/>
        <n v="-23327.48"/>
        <n v="-23443.78"/>
        <n v="-21369.91"/>
        <n v="-18061.56"/>
        <n v="-27758.77"/>
        <n v="-31857.16"/>
        <n v="-15036.0"/>
        <n v="6442.01"/>
        <n v="-3991.38"/>
        <n v="-4157.65"/>
        <n v="-4542.18"/>
        <n v="-7999.76"/>
        <n v="-26132.28"/>
        <n v="-5967.52"/>
        <n v="-6037.92"/>
        <n v="-16851.62"/>
        <n v="-17025.84"/>
        <n v="-17216.22"/>
        <n v="-22291.54"/>
        <n v="-24716.37"/>
        <n v="-12109.19"/>
        <n v="-23541.59"/>
        <n v="-25174.29"/>
        <n v="18746.18"/>
        <n v="27831.94"/>
        <n v="9365.43"/>
        <n v="5901.95"/>
        <n v="4906.76"/>
        <n v="9520.49"/>
        <n v="-14110.63"/>
        <n v="-18477.04"/>
        <n v="-28472.21"/>
        <n v="-9798.04"/>
        <n v="-23254.56"/>
        <n v="-14781.41"/>
        <n v="-24586.09"/>
        <n v="-18904.24"/>
        <n v="7036.42"/>
        <n v="5412.35"/>
        <n v="7570.66"/>
        <n v="9666.19"/>
        <n v="6474.36"/>
        <n v="8822.64"/>
        <n v="7219.04"/>
        <n v="4827.19"/>
        <n v="4494.5"/>
        <n v="10762.03"/>
        <n v="13710.07"/>
        <n v="6577.27"/>
        <n v="6985.69"/>
        <n v="5059.62"/>
        <n v="-22760.65"/>
        <n v="5152.01"/>
        <n v="-27373.69"/>
        <n v="-30820.84"/>
        <n v="-14366.79"/>
        <n v="-19450.56"/>
        <n v="-16733.68"/>
        <n v="-17277.98"/>
        <n v="-14871.87"/>
        <n v="-39214.6"/>
        <n v="-49269.1"/>
        <n v="-20558.13"/>
        <n v="-32172.85"/>
        <n v="-17529.26"/>
        <n v="-16232.97"/>
        <n v="-11594.16"/>
        <n v="-19538.8"/>
        <n v="-22322.46"/>
        <n v="-10459.14"/>
        <n v="-12883.47"/>
        <n v="9812.9"/>
        <n v="10281.69"/>
        <n v="8543.6"/>
        <n v="19256.48"/>
        <n v="22002.52"/>
        <n v="11613.16"/>
        <n v="14776.16"/>
        <n v="9075.44"/>
        <n v="-8558.5"/>
        <n v="8105.1"/>
        <n v="17829.24"/>
        <n v="-20230.93"/>
        <n v="10501.8"/>
        <n v="9263.76"/>
        <n v="5541.08"/>
        <n v="-207.44"/>
        <n v="-1649.96"/>
        <n v="5633.01"/>
        <n v="5918.72"/>
        <n v="5057.15"/>
        <n v="2746.79"/>
        <n v="-2133.66"/>
        <n v="-3232.51"/>
        <n v="-2242.88"/>
        <n v="-1911.77"/>
        <n v="-1253.1"/>
        <n v="-199.49"/>
        <n v="-4024.5"/>
        <n v="-1814.79"/>
        <n v="2422.26"/>
        <n v="2344.81"/>
        <n v="4945.37"/>
        <n v="4789.47"/>
        <n v="2192.76"/>
        <n v="2678.47"/>
        <n v="3226.28"/>
        <n v="2397.85"/>
        <n v="2055.67"/>
        <n v="4530.07"/>
        <n v="5399.84"/>
        <n v="3220.28"/>
        <n v="2850.16"/>
        <n v="3881.84"/>
        <n v="3397.22"/>
        <n v="3161.05"/>
        <n v="5916.05"/>
        <n v="1494.68"/>
        <n v="678.26"/>
        <n v="582.95"/>
        <n v="241.2"/>
        <n v="-4118.68"/>
        <n v="-7420.61"/>
        <n v="-12948.43"/>
        <n v="-9611.73"/>
        <n v="-4826.59"/>
        <n v="937.83"/>
        <n v="1941.36"/>
        <n v="4021.9"/>
        <n v="-15976.71"/>
        <n v="-27291.69"/>
        <n v="-25403.12"/>
        <n v="-8919.88"/>
        <n v="-10852.22"/>
        <n v="-9535.47"/>
        <n v="-8458.01"/>
        <n v="-10058.82"/>
        <n v="-19158.28"/>
        <n v="-17986.37"/>
        <n v="-10358.13"/>
        <n v="-8670.97"/>
        <n v="-6830.34"/>
        <n v="-12625.1"/>
        <n v="-14688.74"/>
        <n v="-28952.14"/>
        <n v="-34676.53"/>
        <n v="-16225.03"/>
        <n v="-21805.57"/>
        <n v="-22148.02"/>
        <n v="-24496.18"/>
        <n v="-19527.58"/>
        <n v="-33660.73"/>
        <n v="-42060.46"/>
        <n v="-25655.11"/>
        <n v="-21713.27"/>
        <n v="-22285.69"/>
        <n v="-19538.51"/>
        <n v="-16580.78"/>
        <n v="-23509.53"/>
        <n v="-26457.02"/>
        <n v="-9552.11"/>
        <n v="8658.56"/>
        <n v="5610.54"/>
        <n v="4620.66"/>
        <n v="3640.25"/>
        <n v="10761.37"/>
        <n v="11058.44"/>
        <n v="6885.3"/>
        <n v="5732.52"/>
        <n v="5214.28"/>
        <n v="4522.42"/>
        <n v="5174.03"/>
        <n v="12904.9"/>
        <n v="13200.88"/>
        <n v="8192.45"/>
        <n v="9215.12"/>
        <n v="-4301.83"/>
        <n v="-15288.27"/>
        <n v="-12983.79"/>
        <n v="-22412.47"/>
        <n v="-24193.73"/>
        <n v="-12749.14"/>
        <n v="-10917.87"/>
        <n v="-15415.36"/>
        <n v="-23134.09"/>
        <n v="-17476.86"/>
        <n v="-22364.82"/>
        <n v="-24408.88"/>
        <n v="-12688.73"/>
        <n v="-11002.8"/>
        <n v="9531.16"/>
        <n v="-10368.83"/>
        <n v="-5038.95"/>
        <n v="-9044.12"/>
        <n v="-17935.67"/>
        <n v="-4996.55"/>
        <n v="-4883.29"/>
        <n v="-4004.5"/>
        <n v="-13904.18"/>
        <n v="-7177.35"/>
        <n v="-11909.06"/>
        <n v="-19029.06"/>
        <n v="-4913.47"/>
        <n v="-5144.19"/>
        <n v="-4280.86"/>
        <n v="5508.07"/>
        <n v="-11906.8"/>
        <n v="-32468.57"/>
        <n v="-37629.54"/>
        <n v="-18870.93"/>
        <n v="-20723.86"/>
        <n v="-16488.5"/>
        <n v="-17323.0"/>
        <n v="-23136.47"/>
        <n v="-38732.04"/>
        <n v="-35943.74"/>
        <n v="-19349.73"/>
        <n v="-22520.79"/>
        <n v="-17663.13"/>
        <n v="-15717.31"/>
        <n v="9980.15"/>
        <n v="12530.22"/>
        <n v="11333.05"/>
        <n v="5717.99"/>
        <n v="6608.04"/>
        <n v="5277.44"/>
        <n v="4736.59"/>
        <n v="4369.59"/>
        <n v="11557.54"/>
        <n v="13641.48"/>
        <n v="6514.25"/>
        <n v="7381.33"/>
        <n v="5433.32"/>
        <n v="6116.13"/>
        <n v="5036.6"/>
        <n v="8763.76"/>
        <n v="11057.87"/>
        <n v="5862.24"/>
        <n v="6198.23"/>
        <n v="6290.34"/>
        <n v="9584.58"/>
        <n v="7363.31"/>
        <n v="13161.94"/>
        <n v="13469.31"/>
        <n v="8369.59"/>
        <n v="9187.91"/>
        <n v="10011.7"/>
        <n v="6831.39"/>
        <n v="6508.01"/>
        <n v="10066.65"/>
        <n v="10008.32"/>
        <n v="4193.64"/>
        <n v="5236.48"/>
        <n v="4254.62"/>
        <n v="-8324.17"/>
        <n v="-3959.37"/>
        <n v="-9714.41"/>
        <n v="-15387.38"/>
        <n v="-6517.49"/>
        <n v="-5852.65"/>
        <n v="-5049.12"/>
        <n v="-5979.44"/>
        <n v="-5363.85"/>
        <n v="-11228.66"/>
        <n v="-12163.93"/>
        <n v="-7253.98"/>
        <n v="-5980.36"/>
        <n v="5888.34"/>
        <n v="-7292.0"/>
        <n v="-14054.14"/>
        <n v="-20872.07"/>
        <n v="-21686.02"/>
        <n v="-9507.64"/>
        <n v="-9853.37"/>
        <n v="-8337.95"/>
        <n v="-14267.3"/>
        <n v="-19539.14"/>
        <n v="-22138.08"/>
        <n v="-22751.45"/>
        <n v="-13137.71"/>
        <n v="-14412.27"/>
        <n v="-9614.04"/>
        <n v="6906.28"/>
        <n v="5900.47"/>
        <n v="7723.79"/>
        <n v="8478.38"/>
        <n v="4817.43"/>
        <n v="5191.01"/>
        <n v="3026.14"/>
        <n v="2120.06"/>
        <n v="4277.41"/>
        <n v="7319.65"/>
        <n v="10548.3"/>
        <n v="5231.3"/>
        <n v="4906.02"/>
        <n v="3892.62"/>
        <n v="5252.6"/>
        <n v="4320.35"/>
        <n v="15539.06"/>
        <n v="16141.02"/>
        <n v="7698.79"/>
        <n v="7176.04"/>
        <n v="6129.01"/>
        <n v="1628.22"/>
        <n v="1832.01"/>
        <n v="4881.94"/>
        <n v="7072.25"/>
        <n v="5233.52"/>
        <n v="16252.54"/>
        <n v="11129.15"/>
        <n v="9186.17"/>
        <n v="8303.17"/>
        <n v="10302.25"/>
        <n v="10844.08"/>
        <n v="6144.15"/>
        <n v="5951.21"/>
        <n v="4228.65"/>
        <n v="3205.72"/>
        <n v="2630.12"/>
        <n v="7370.18"/>
        <n v="8787.21"/>
        <n v="4594.99"/>
        <n v="5420.0"/>
        <n v="3662.48"/>
        <n v="3993.99"/>
        <n v="3610.07"/>
        <n v="9210.27"/>
        <n v="9732.58"/>
        <n v="4747.96"/>
        <n v="3783.87"/>
        <n v="6950.23"/>
        <n v="6400.87"/>
        <n v="5473.28"/>
        <n v="9948.63"/>
        <n v="11800.31"/>
        <n v="6287.32"/>
        <n v="7704.44"/>
        <n v="16255.43"/>
        <n v="11354.37"/>
        <n v="7625.59"/>
        <n v="11673.68"/>
        <n v="12622.73"/>
        <n v="6208.83"/>
        <n v="6557.89"/>
        <n v="5787.45"/>
        <n v="4568.03"/>
        <n v="3977.91"/>
        <n v="8383.18"/>
        <n v="8735.7"/>
        <n v="4834.17"/>
        <n v="4765.98"/>
        <n v="7404.93"/>
        <n v="5801.1"/>
      </sharedItems>
    </cacheField>
    <cacheField name="Daily % Gross Profit" numFmtId="0">
      <sharedItems containsSemiMixedTypes="0" containsString="0" containsNumber="1">
        <n v="-2.74"/>
        <n v="-2.21"/>
        <n v="-1.39"/>
        <n v="-1.35"/>
        <n v="-2.11"/>
        <n v="-2.15"/>
        <n v="-2.17"/>
        <n v="-2.32"/>
        <n v="-2.46"/>
        <n v="2.41"/>
        <n v="2.77"/>
        <n v="2.31"/>
        <n v="2.35"/>
        <n v="2.49"/>
        <n v="1.81"/>
        <n v="1.83"/>
        <n v="2.04"/>
        <n v="2.0"/>
        <n v="1.88"/>
        <n v="1.7"/>
        <n v="1.12"/>
        <n v="1.74"/>
        <n v="1.57"/>
        <n v="1.35"/>
        <n v="1.28"/>
        <n v="1.38"/>
        <n v="1.37"/>
        <n v="1.51"/>
        <n v="1.53"/>
        <n v="1.73"/>
        <n v="1.25"/>
        <n v="-4.23"/>
        <n v="0.33"/>
        <n v="-3.97"/>
        <n v="-4.33"/>
        <n v="-4.7"/>
        <n v="-4.81"/>
        <n v="-3.19"/>
        <n v="-2.12"/>
        <n v="-1.98"/>
        <n v="-1.96"/>
        <n v="-1.7"/>
        <n v="-1.38"/>
        <n v="3.83"/>
        <n v="-1.23"/>
        <n v="3.81"/>
        <n v="-1.31"/>
        <n v="-3.52"/>
        <n v="-1.63"/>
        <n v="-1.02"/>
        <n v="-1.13"/>
        <n v="-1.41"/>
        <n v="-6.28"/>
        <n v="-3.74"/>
        <n v="-3.0"/>
        <n v="-3.48"/>
        <n v="-4.18"/>
        <n v="-4.26"/>
        <n v="-0.2"/>
        <n v="-4.11"/>
        <n v="-3.96"/>
        <n v="-3.99"/>
        <n v="-2.33"/>
        <n v="-2.84"/>
        <n v="-2.62"/>
        <n v="-2.73"/>
        <n v="-3.13"/>
        <n v="-2.9"/>
        <n v="-2.91"/>
        <n v="4.51"/>
        <n v="4.47"/>
        <n v="4.46"/>
        <n v="4.44"/>
        <n v="4.48"/>
        <n v="4.52"/>
        <n v="2.18"/>
        <n v="2.42"/>
        <n v="1.06"/>
        <n v="1.67"/>
        <n v="1.43"/>
        <n v="1.91"/>
        <n v="1.98"/>
        <n v="1.45"/>
        <n v="1.09"/>
        <n v="1.48"/>
        <n v="1.64"/>
        <n v="1.96"/>
        <n v="0.85"/>
        <n v="3.04"/>
        <n v="2.85"/>
        <n v="-2.2"/>
        <n v="-2.31"/>
        <n v="-2.35"/>
        <n v="-2.55"/>
        <n v="-2.56"/>
        <n v="-2.58"/>
        <n v="-2.63"/>
        <n v="-2.66"/>
        <n v="2.29"/>
        <n v="2.27"/>
        <n v="1.15"/>
        <n v="1.54"/>
        <n v="1.34"/>
        <n v="2.72"/>
        <n v="2.57"/>
        <n v="4.0"/>
        <n v="2.92"/>
        <n v="1.59"/>
        <n v="1.29"/>
        <n v="3.09"/>
        <n v="-1.57"/>
        <n v="2.74"/>
        <n v="-7.46"/>
        <n v="-7.77"/>
        <n v="-7.73"/>
        <n v="-7.86"/>
        <n v="-7.89"/>
        <n v="-8.44"/>
        <n v="-7.31"/>
        <n v="-6.37"/>
        <n v="-5.61"/>
        <n v="-4.77"/>
        <n v="-4.17"/>
        <n v="-5.4"/>
        <n v="-4.92"/>
        <n v="0.4"/>
        <n v="-4.36"/>
        <n v="-4.0"/>
        <n v="-3.4"/>
        <n v="-3.7"/>
        <n v="-3.78"/>
        <n v="-3.71"/>
        <n v="-3.68"/>
        <n v="-3.73"/>
        <n v="-3.77"/>
        <n v="-3.83"/>
        <n v="-3.87"/>
        <n v="-3.66"/>
        <n v="-4.24"/>
        <n v="-4.2"/>
        <n v="-3.86"/>
        <n v="-3.67"/>
        <n v="-3.82"/>
        <n v="-3.95"/>
        <n v="-4.16"/>
        <n v="-4.1"/>
        <n v="-5.11"/>
        <n v="-1.08"/>
        <n v="-1.76"/>
        <n v="-0.32"/>
        <n v="-0.66"/>
        <n v="3.8"/>
        <n v="3.84"/>
        <n v="3.75"/>
        <n v="3.35"/>
        <n v="3.53"/>
        <n v="3.21"/>
        <n v="3.55"/>
        <n v="3.52"/>
        <n v="3.0"/>
        <n v="2.7"/>
        <n v="2.69"/>
        <n v="2.71"/>
        <n v="2.8"/>
        <n v="2.81"/>
        <n v="2.82"/>
        <n v="2.62"/>
        <n v="2.53"/>
        <n v="2.61"/>
        <n v="2.64"/>
        <n v="2.58"/>
        <n v="-5.18"/>
        <n v="2.45"/>
        <n v="-5.36"/>
        <n v="2.46"/>
        <n v="-4.82"/>
        <n v="-4.37"/>
        <n v="-4.28"/>
        <n v="-4.06"/>
        <n v="-4.08"/>
        <n v="-3.98"/>
        <n v="-4.02"/>
        <n v="3.78"/>
        <n v="-3.89"/>
        <n v="-3.85"/>
        <n v="-3.81"/>
        <n v="-3.75"/>
        <n v="-3.94"/>
        <n v="-4.05"/>
        <n v="-4.04"/>
        <n v="-4.15"/>
        <n v="-1.83"/>
        <n v="-1.85"/>
        <n v="-1.92"/>
        <n v="-1.84"/>
        <n v="-2.18"/>
        <n v="-7.02"/>
        <n v="-10.78"/>
        <n v="-11.28"/>
        <n v="-11.27"/>
        <n v="-11.25"/>
        <n v="-11.41"/>
        <n v="-11.5"/>
        <n v="-11.45"/>
        <n v="-11.48"/>
        <n v="-11.47"/>
        <n v="-11.51"/>
        <n v="2.11"/>
        <n v="1.8"/>
        <n v="1.79"/>
        <n v="1.72"/>
        <n v="1.78"/>
        <n v="1.76"/>
        <n v="1.65"/>
        <n v="1.44"/>
        <n v="-6.5"/>
        <n v="-6.87"/>
        <n v="-6.92"/>
        <n v="-7.13"/>
        <n v="-7.25"/>
        <n v="-7.41"/>
        <n v="-7.49"/>
        <n v="-7.55"/>
        <n v="-7.56"/>
        <n v="-7.57"/>
        <n v="-7.58"/>
        <n v="-7.6"/>
        <n v="4.94"/>
        <n v="4.78"/>
        <n v="5.05"/>
        <n v="4.96"/>
        <n v="4.99"/>
        <n v="5.08"/>
        <n v="4.68"/>
        <n v="4.66"/>
        <n v="4.35"/>
        <n v="3.39"/>
        <n v="2.95"/>
        <n v="3.07"/>
        <n v="2.87"/>
        <n v="2.59"/>
        <n v="2.78"/>
        <n v="2.84"/>
        <n v="2.94"/>
        <n v="3.12"/>
        <n v="2.75"/>
        <n v="2.02"/>
        <n v="1.95"/>
        <n v="1.99"/>
        <n v="8.36"/>
        <n v="6.71"/>
        <n v="2.51"/>
        <n v="2.86"/>
        <n v="2.32"/>
        <n v="2.1"/>
        <n v="2.19"/>
        <n v="12.56"/>
        <n v="13.3"/>
        <n v="13.86"/>
        <n v="12.48"/>
        <n v="11.98"/>
        <n v="14.21"/>
        <n v="13.39"/>
        <n v="13.17"/>
        <n v="9.56"/>
        <n v="7.78"/>
        <n v="7.46"/>
        <n v="0.9"/>
        <n v="0.34"/>
        <n v="-3.08"/>
        <n v="-6.91"/>
        <n v="-1.07"/>
        <n v="-4.64"/>
        <n v="-8.25"/>
        <n v="-7.93"/>
        <n v="-8.99"/>
        <n v="-8.35"/>
        <n v="-7.88"/>
        <n v="-8.15"/>
        <n v="-8.21"/>
        <n v="-9.43"/>
        <n v="-9.18"/>
        <n v="-9.56"/>
        <n v="-9.67"/>
        <n v="-2.75"/>
        <n v="-3.23"/>
        <n v="-1.99"/>
        <n v="-2.06"/>
        <n v="-2.02"/>
        <n v="-2.07"/>
        <n v="-8.93"/>
        <n v="-9.03"/>
        <n v="-8.92"/>
        <n v="-8.82"/>
        <n v="-8.87"/>
        <n v="-8.7"/>
        <n v="-1.87"/>
        <n v="-2.05"/>
        <n v="-2.09"/>
        <n v="-2.14"/>
        <n v="-2.04"/>
        <n v="-1.93"/>
        <n v="-1.59"/>
        <n v="-1.73"/>
        <n v="-1.71"/>
        <n v="-1.69"/>
        <n v="-1.34"/>
        <n v="-2.16"/>
        <n v="-2.13"/>
        <n v="-1.81"/>
        <n v="-1.86"/>
        <n v="-1.53"/>
        <n v="-0.87"/>
        <n v="-0.42"/>
        <n v="-0.04"/>
        <n v="0.24"/>
        <n v="-0.01"/>
        <n v="0.83"/>
        <n v="-7.11"/>
        <n v="-7.09"/>
        <n v="-6.67"/>
        <n v="-6.65"/>
        <n v="-6.49"/>
        <n v="-6.48"/>
        <n v="-6.45"/>
        <n v="-6.26"/>
        <n v="-6.01"/>
        <n v="-5.89"/>
        <n v="-5.86"/>
        <n v="-5.84"/>
        <n v="-5.65"/>
        <n v="-5.58"/>
        <n v="-5.73"/>
        <n v="-5.68"/>
        <n v="-6.88"/>
        <n v="-7.74"/>
        <n v="-7.67"/>
        <n v="-7.98"/>
        <n v="-7.95"/>
        <n v="-8.22"/>
        <n v="0.58"/>
        <n v="0.68"/>
        <n v="0.75"/>
        <n v="0.65"/>
        <n v="0.52"/>
        <n v="0.64"/>
        <n v="0.71"/>
        <n v="0.59"/>
        <n v="0.54"/>
        <n v="0.44"/>
        <n v="0.3"/>
        <n v="0.26"/>
        <n v="-9.05"/>
        <n v="-9.07"/>
        <n v="-9.24"/>
        <n v="-9.11"/>
        <n v="-9.04"/>
        <n v="-9.12"/>
        <n v="-8.85"/>
        <n v="-8.74"/>
        <n v="-8.6"/>
        <n v="-8.64"/>
        <n v="-8.67"/>
        <n v="-0.89"/>
        <n v="0.35"/>
        <n v="0.36"/>
        <n v="0.37"/>
        <n v="0.38"/>
        <n v="0.53"/>
        <n v="2.05"/>
        <n v="2.25"/>
        <n v="2.34"/>
        <n v="2.48"/>
        <n v="2.67"/>
        <n v="2.99"/>
        <n v="-5.67"/>
        <n v="-5.47"/>
        <n v="-5.29"/>
        <n v="-5.17"/>
        <n v="-5.38"/>
        <n v="-5.28"/>
        <n v="-5.39"/>
        <n v="-5.3"/>
        <n v="-7.62"/>
        <n v="-5.13"/>
        <n v="-4.91"/>
        <n v="1.22"/>
        <n v="-7.66"/>
        <n v="-7.63"/>
        <n v="-7.68"/>
        <n v="-7.69"/>
        <n v="-7.7"/>
        <n v="-7.71"/>
        <n v="-7.18"/>
        <n v="3.36"/>
        <n v="-7.65"/>
        <n v="-7.64"/>
        <n v="3.32"/>
        <n v="3.57"/>
        <n v="3.7"/>
        <n v="3.65"/>
        <n v="3.72"/>
        <n v="3.85"/>
        <n v="3.9"/>
        <n v="4.15"/>
        <n v="4.14"/>
        <n v="4.17"/>
        <n v="4.29"/>
        <n v="-6.39"/>
        <n v="-6.27"/>
        <n v="-6.15"/>
        <n v="-6.17"/>
        <n v="-6.23"/>
        <n v="-6.22"/>
        <n v="-6.03"/>
        <n v="-5.9"/>
        <n v="-5.8"/>
        <n v="-5.93"/>
        <n v="-0.19"/>
        <n v="-1.55"/>
        <n v="-1.51"/>
        <n v="-1.09"/>
        <n v="-2.26"/>
        <n v="-2.48"/>
        <n v="-1.75"/>
        <n v="-2.57"/>
        <n v="-2.36"/>
        <n v="-2.61"/>
        <n v="-3.54"/>
        <n v="-4.13"/>
        <n v="-3.92"/>
        <n v="-3.72"/>
        <n v="-3.9"/>
        <n v="-3.5"/>
        <n v="-3.34"/>
        <n v="-3.11"/>
        <n v="-3.03"/>
        <n v="-2.43"/>
        <n v="-3.53"/>
        <n v="-3.37"/>
        <n v="-2.81"/>
        <n v="-2.92"/>
        <n v="-3.28"/>
        <n v="-3.91"/>
        <n v="-4.94"/>
        <n v="-4.78"/>
        <n v="-4.45"/>
        <n v="-4.97"/>
        <n v="-4.83"/>
        <n v="-1.01"/>
        <n v="-0.58"/>
        <n v="-13.46"/>
        <n v="-10.54"/>
        <n v="-10.1"/>
        <n v="-9.41"/>
        <n v="-8.84"/>
        <n v="-8.65"/>
        <n v="-8.11"/>
        <n v="-8.03"/>
        <n v="-7.61"/>
        <n v="-7.24"/>
        <n v="-7.59"/>
        <n v="5.19"/>
        <n v="5.0"/>
        <n v="6.38"/>
        <n v="5.1"/>
        <n v="5.3"/>
        <n v="5.28"/>
        <n v="4.8"/>
        <n v="4.71"/>
        <n v="5.26"/>
        <n v="5.6"/>
        <n v="5.29"/>
        <n v="5.49"/>
        <n v="5.32"/>
        <n v="6.36"/>
        <n v="5.99"/>
        <n v="-10.71"/>
        <n v="-11.78"/>
        <n v="-12.36"/>
        <n v="-13.18"/>
        <n v="-13.54"/>
        <n v="-13.45"/>
        <n v="-13.87"/>
        <n v="-14.16"/>
        <n v="-13.91"/>
        <n v="-14.29"/>
        <n v="-14.52"/>
        <n v="-14.37"/>
        <n v="3.17"/>
        <n v="3.14"/>
        <n v="3.13"/>
        <n v="3.16"/>
        <n v="-3.64"/>
        <n v="-3.62"/>
        <n v="-4.38"/>
        <n v="-4.4"/>
        <n v="-9.75"/>
        <n v="-4.79"/>
        <n v="-4.59"/>
        <n v="-4.75"/>
        <n v="-9.54"/>
        <n v="-4.29"/>
        <n v="-9.52"/>
        <n v="-4.55"/>
        <n v="4.56"/>
        <n v="-9.42"/>
        <n v="-9.31"/>
        <n v="-9.44"/>
        <n v="-9.25"/>
        <n v="-9.28"/>
        <n v="-9.45"/>
        <n v="-9.27"/>
        <n v="-9.36"/>
        <n v="-9.35"/>
        <n v="-9.9"/>
        <n v="6.69"/>
        <n v="-9.4"/>
        <n v="-14.1"/>
        <n v="-14.75"/>
        <n v="-14.78"/>
        <n v="-14.86"/>
        <n v="-8.95"/>
        <n v="-8.98"/>
        <n v="-8.42"/>
        <n v="7.12"/>
        <n v="-3.39"/>
        <n v="-2.94"/>
        <n v="-3.41"/>
        <n v="-7.84"/>
        <n v="-3.22"/>
        <n v="-3.47"/>
        <n v="-7.26"/>
        <n v="-8.05"/>
        <n v="-7.32"/>
        <n v="-7.8"/>
        <n v="-8.14"/>
        <n v="-8.04"/>
        <n v="6.99"/>
        <n v="7.1"/>
        <n v="7.0"/>
        <n v="7.13"/>
        <n v="7.06"/>
        <n v="7.16"/>
        <n v="-8.75"/>
        <n v="-8.86"/>
        <n v="-8.78"/>
        <n v="-8.94"/>
        <n v="-8.76"/>
        <n v="7.27"/>
        <n v="7.18"/>
        <n v="7.26"/>
        <n v="7.14"/>
        <n v="7.29"/>
        <n v="7.17"/>
        <n v="7.21"/>
        <n v="-14.26"/>
        <n v="7.68"/>
        <n v="-10.25"/>
        <n v="-9.78"/>
        <n v="-9.63"/>
        <n v="-8.06"/>
        <n v="-9.85"/>
        <n v="-9.61"/>
        <n v="-9.49"/>
        <n v="-6.3"/>
        <n v="-6.0"/>
        <n v="-5.99"/>
        <n v="-6.18"/>
        <n v="11.61"/>
        <n v="13.41"/>
        <n v="13.34"/>
        <n v="12.94"/>
        <n v="12.75"/>
        <n v="13.2"/>
        <n v="11.97"/>
        <n v="11.73"/>
        <n v="11.65"/>
        <n v="11.06"/>
        <n v="10.83"/>
        <n v="10.87"/>
        <n v="10.15"/>
        <n v="-0.25"/>
        <n v="-1.03"/>
        <n v="2.98"/>
        <n v="1.68"/>
        <n v="-1.18"/>
        <n v="-1.89"/>
        <n v="-0.82"/>
        <n v="-0.27"/>
        <n v="-4.42"/>
        <n v="6.32"/>
        <n v="6.26"/>
        <n v="6.34"/>
        <n v="6.01"/>
        <n v="5.9"/>
        <n v="5.95"/>
        <n v="5.81"/>
        <n v="5.72"/>
        <n v="5.98"/>
        <n v="5.79"/>
        <n v="5.82"/>
        <n v="5.87"/>
        <n v="5.93"/>
        <n v="5.89"/>
        <n v="1.2"/>
        <n v="0.92"/>
        <n v="1.16"/>
        <n v="0.28"/>
        <n v="-6.4"/>
        <n v="-5.66"/>
        <n v="-5.57"/>
        <n v="-5.32"/>
        <n v="2.37"/>
        <n v="7.34"/>
        <n v="-10.27"/>
        <n v="-10.33"/>
        <n v="-8.52"/>
        <n v="-8.27"/>
        <n v="-6.8"/>
        <n v="-6.2"/>
        <n v="-5.41"/>
        <n v="-5.49"/>
        <n v="-5.74"/>
        <n v="-8.24"/>
        <n v="-8.72"/>
        <n v="-7.9"/>
        <n v="-7.82"/>
        <n v="-7.39"/>
        <n v="-7.23"/>
        <n v="-6.83"/>
        <n v="-6.97"/>
        <n v="-6.9"/>
        <n v="-6.82"/>
        <n v="-6.86"/>
        <n v="13.04"/>
        <n v="13.13"/>
        <n v="13.38"/>
        <n v="13.48"/>
        <n v="13.37"/>
        <n v="13.33"/>
        <n v="13.14"/>
        <n v="13.28"/>
        <n v="13.29"/>
        <n v="13.32"/>
        <n v="-3.8"/>
        <n v="-6.16"/>
        <n v="-6.09"/>
        <n v="-6.25"/>
        <n v="-6.32"/>
        <n v="-5.95"/>
        <n v="-6.29"/>
        <n v="-5.98"/>
        <n v="-6.07"/>
        <n v="-6.19"/>
        <n v="13.53"/>
        <n v="-6.36"/>
        <n v="-3.63"/>
        <n v="-3.58"/>
        <n v="-6.1"/>
        <n v="-3.61"/>
        <n v="-6.21"/>
        <n v="-3.55"/>
        <n v="-3.65"/>
        <n v="13.75"/>
        <n v="-8.28"/>
        <n v="-8.33"/>
        <n v="-8.16"/>
        <n v="-8.17"/>
        <n v="-8.18"/>
        <n v="-8.09"/>
        <n v="-7.91"/>
        <n v="-7.99"/>
        <n v="-8.0"/>
        <n v="14.34"/>
        <n v="14.37"/>
        <n v="14.4"/>
        <n v="14.36"/>
        <n v="14.42"/>
        <n v="14.32"/>
        <n v="14.26"/>
        <n v="14.38"/>
        <n v="14.31"/>
        <n v="14.3"/>
        <n v="14.35"/>
        <n v="14.33"/>
        <n v="14.39"/>
        <n v="14.14"/>
        <n v="14.19"/>
        <n v="14.08"/>
        <n v="14.13"/>
        <n v="14.06"/>
        <n v="14.11"/>
        <n v="14.17"/>
        <n v="14.1"/>
        <n v="13.7"/>
        <n v="14.0"/>
        <n v="13.95"/>
        <n v="13.88"/>
        <n v="13.8"/>
        <n v="-4.61"/>
        <n v="-5.78"/>
        <n v="-3.6"/>
        <n v="-4.89"/>
        <n v="-4.88"/>
        <n v="-4.87"/>
        <n v="13.52"/>
        <n v="-6.06"/>
        <n v="-6.11"/>
        <n v="-6.04"/>
        <n v="13.61"/>
        <n v="13.63"/>
        <n v="9.99"/>
        <n v="9.97"/>
        <n v="9.87"/>
        <n v="9.95"/>
        <n v="10.34"/>
        <n v="10.5"/>
        <n v="10.48"/>
        <n v="10.54"/>
        <n v="10.26"/>
        <n v="10.49"/>
        <n v="10.31"/>
        <n v="10.53"/>
        <n v="10.64"/>
        <n v="10.63"/>
        <n v="10.65"/>
        <n v="10.4"/>
        <n v="4.41"/>
        <n v="11.38"/>
        <n v="11.52"/>
        <n v="11.81"/>
        <n v="11.74"/>
        <n v="11.78"/>
        <n v="11.87"/>
        <n v="11.68"/>
        <n v="11.71"/>
        <n v="10.33"/>
        <n v="10.61"/>
        <n v="9.53"/>
        <n v="8.02"/>
        <n v="9.48"/>
        <n v="8.94"/>
        <n v="10.6"/>
        <n v="9.34"/>
        <n v="9.59"/>
        <n v="9.21"/>
        <n v="8.67"/>
        <n v="9.43"/>
        <n v="10.24"/>
        <n v="10.2"/>
        <n v="9.7"/>
        <n v="9.44"/>
        <n v="9.31"/>
        <n v="11.0"/>
        <n v="12.8"/>
        <n v="11.64"/>
        <n v="7.86"/>
        <n v="6.93"/>
        <n v="6.25"/>
        <n v="5.83"/>
        <n v="5.76"/>
        <n v="5.59"/>
        <n v="5.56"/>
        <n v="5.21"/>
        <n v="5.43"/>
        <n v="7.75"/>
        <n v="7.51"/>
      </sharedItems>
    </cacheField>
    <cacheField name="Daily Gross Profit Per Unit" numFmtId="0">
      <sharedItems containsSemiMixedTypes="0" containsString="0" containsNumber="1">
        <n v="-0.8996118353596015"/>
        <n v="-0.71651273198101"/>
        <n v="-0.4495332337565347"/>
        <n v="-0.43855222672064775"/>
        <n v="-0.6842740975803253"/>
        <n v="-0.6978257655755016"/>
        <n v="-0.7049963794351919"/>
        <n v="-0.7508594411515664"/>
        <n v="-0.7977948198524093"/>
        <n v="0.8208795986622073"/>
        <n v="0.9458214624881291"/>
        <n v="0.823353744700895"/>
        <n v="0.7893437281824529"/>
        <n v="0.821255364806867"/>
        <n v="0.800495696052241"/>
        <n v="0.8492504258943782"/>
        <n v="0.615353083017568"/>
        <n v="0.6240345242874348"/>
        <n v="0.6948790322580646"/>
        <n v="0.6822991122239928"/>
        <n v="0.6962408088235295"/>
        <n v="0.6415431846090872"/>
        <n v="0.5811599696739954"/>
        <n v="0.3808802816901408"/>
        <n v="0.594957264957265"/>
        <n v="0.623721881390593"/>
        <n v="0.5802266725352113"/>
        <n v="0.5367065127782358"/>
        <n v="0.4611572980632971"/>
        <n v="0.43821815718157175"/>
        <n v="0.4705471124620061"/>
        <n v="0.466453488372093"/>
        <n v="0.517213399503722"/>
        <n v="0.5228902714932127"/>
        <n v="0.5924879518072289"/>
        <n v="0.6411119064662372"/>
        <n v="0.42802835389866106"/>
        <n v="-1.3745194309507285"/>
        <n v="0.11120211360634083"/>
        <n v="-1.2898912106850495"/>
        <n v="-1.4051145116565678"/>
        <n v="-1.5259836656257506"/>
        <n v="-1.5600109841827767"/>
        <n v="-1.0367737296260786"/>
        <n v="-0.6870200516180266"/>
        <n v="-0.6423573608828363"/>
        <n v="-0.6375590020229265"/>
        <n v="-0.5510351217790328"/>
        <n v="-0.6986285437363702"/>
        <n v="-0.44886212088621213"/>
        <n v="1.3083527965580823"/>
        <n v="-0.39903992685156964"/>
        <n v="1.3013679653679653"/>
        <n v="-0.42577739236890433"/>
        <n v="-1.1153346295538271"/>
        <n v="-0.529519906323185"/>
        <n v="-0.33102289332683876"/>
        <n v="-0.36785209744846475"/>
        <n v="-0.45609316411883477"/>
        <n v="-1.9523524634542502"/>
        <n v="-1.191073780341264"/>
        <n v="-0.9618780764861795"/>
        <n v="-1.1098473740335912"/>
        <n v="-1.10992241175077"/>
        <n v="-1.3258667892532434"/>
        <n v="-1.351402401287288"/>
        <n v="-0.06546332807570977"/>
        <n v="-1.2684062950999933"/>
        <n v="-1.313012544582462"/>
        <n v="-1.2675691474194468"/>
        <n v="-1.2776768920734436"/>
        <n v="-0.7592853407704376"/>
        <n v="-0.9237726579705234"/>
        <n v="-0.8526918512658228"/>
        <n v="-0.8896663105120407"/>
        <n v="-1.014334105566339"/>
        <n v="-0.9433338117106773"/>
        <n v="-0.9456031491860155"/>
        <n v="1.580402659770964"/>
        <n v="1.5665301478953355"/>
        <n v="1.5635113614294038"/>
        <n v="1.5554577157802962"/>
        <n v="1.570628038897893"/>
        <n v="1.5642436345481776"/>
        <n v="1.5818209212225571"/>
        <n v="0.7411643118785975"/>
        <n v="0.8278587015821058"/>
        <n v="0.3572565622353937"/>
        <n v="0.5687416974169741"/>
        <n v="0.486636242631679"/>
        <n v="0.697152995199332"/>
        <n v="0.6532366111409637"/>
        <n v="0.6756841369671559"/>
        <n v="0.4927825136612022"/>
        <n v="0.37000500375281464"/>
        <n v="0.5069431450161929"/>
        <n v="0.5648370253164557"/>
        <n v="0.6770496083550914"/>
        <n v="0.2920991177996886"/>
        <n v="1.065262227460224"/>
        <n v="1.0001627841706426"/>
        <n v="-0.7345743494423792"/>
        <n v="-0.7701566906925729"/>
        <n v="-0.7729848888888888"/>
        <n v="-0.7351342685370742"/>
        <n v="-0.7848089500860584"/>
        <n v="-0.8204801920768308"/>
        <n v="-0.8501235687563767"/>
        <n v="-0.8543912664706523"/>
        <n v="-0.8520107604017217"/>
        <n v="-0.8585786942851859"/>
        <n v="-0.8490084572761738"/>
        <n v="-0.8780016549441457"/>
        <n v="-0.8879616438356165"/>
        <n v="0.803752002563281"/>
        <n v="0.794813100747597"/>
        <n v="0.39994377415954085"/>
        <n v="0.4744061396028749"/>
        <n v="0.5352561247216036"/>
        <n v="0.4641331096196868"/>
        <n v="0.3775439978986078"/>
        <n v="0.9562778535698044"/>
        <n v="0.9050780640124902"/>
        <n v="1.4294717310630867"/>
        <n v="1.037286989450906"/>
        <n v="0.5603860711582135"/>
        <n v="0.45239695624603676"/>
        <n v="1.1108513838748495"/>
        <n v="-0.5370115801270078"/>
        <n v="0.9836861721953037"/>
        <n v="-2.423953687821612"/>
        <n v="-2.522028408236886"/>
        <n v="-2.511023813380852"/>
        <n v="-2.5511745975588185"/>
        <n v="-2.5597579391516767"/>
        <n v="-2.7151815128738206"/>
        <n v="-2.347912702188392"/>
        <n v="-2.044588771333694"/>
        <n v="-1.8048994067578026"/>
        <n v="-1.5451196265318032"/>
        <n v="-1.3514613015017327"/>
        <n v="-1.7341693693693692"/>
        <n v="-1.5785601317957167"/>
        <n v="0.1355656240865244"/>
        <n v="-1.4011625821876867"/>
        <n v="-1.2858449553279583"/>
        <n v="-1.015346153846154"/>
        <n v="-1.0986744668246446"/>
        <n v="-1.1909511604727323"/>
        <n v="-1.2149927431059506"/>
        <n v="-1.1925279156327544"/>
        <n v="-1.1831969047771314"/>
        <n v="-1.1989667110519306"/>
        <n v="-1.2127516210882436"/>
        <n v="-1.230446590223295"/>
        <n v="-1.2418878998337082"/>
        <n v="-1.178871293800539"/>
        <n v="-1.354833131592599"/>
        <n v="-1.3431704608550805"/>
        <n v="-1.2688627065946654"/>
        <n v="-1.2393788305449727"/>
        <n v="-0.9198183744513394"/>
        <n v="-1.1815366228444597"/>
        <n v="-1.2255682446122673"/>
        <n v="-1.2012419768934532"/>
        <n v="-1.1984168666438122"/>
        <n v="-1.268873516446253"/>
        <n v="-1.3334158203404376"/>
        <n v="-1.3362197650310987"/>
        <n v="-1.3142551266586247"/>
        <n v="-1.3556710709318498"/>
        <n v="-1.6233091112353268"/>
        <n v="-0.3571760091518222"/>
        <n v="-0.5800470702807986"/>
        <n v="-0.10661021170610212"/>
        <n v="-0.21965158480522623"/>
        <n v="1.3310601719197708"/>
        <n v="1.3443410368519675"/>
        <n v="1.3143655778894472"/>
        <n v="1.1755280659749934"/>
        <n v="1.2360378715244487"/>
        <n v="1.1228668171557563"/>
        <n v="1.244562125748503"/>
        <n v="1.2327649231965778"/>
        <n v="1.0518294314381271"/>
        <n v="0.9461717285339333"/>
        <n v="0.9518685244730262"/>
        <n v="0.9438569299552906"/>
        <n v="0.9494705294705295"/>
        <n v="0.9799339095068632"/>
        <n v="0.9838720103425985"/>
        <n v="0.987627408993576"/>
        <n v="0.9189993261455526"/>
        <n v="0.8849228758169935"/>
        <n v="0.9138016237204377"/>
        <n v="0.9407470049330515"/>
        <n v="0.925676429567643"/>
        <n v="0.9056067344345616"/>
        <n v="-1.6797243523316063"/>
        <n v="0.8574772431729519"/>
        <n v="0.8443941523755975"/>
        <n v="-1.7395991983967936"/>
        <n v="0.8475"/>
        <n v="0.8463838383838385"/>
        <n v="0.8621199011124846"/>
        <n v="-1.5634919702311005"/>
        <n v="1.173081714913888"/>
        <n v="-1.4192287853054035"/>
        <n v="-1.3884650867785275"/>
        <n v="-1.332043377604484"/>
        <n v="-1.3166589044133954"/>
        <n v="-1.3219425778863776"/>
        <n v="-1.292115699770567"/>
        <n v="-1.2861297760210804"/>
        <n v="-1.2957354110351407"/>
        <n v="-1.2946110193974412"/>
        <n v="-1.290755832365671"/>
        <n v="-1.3016311548791406"/>
        <n v="-1.2927573847484861"/>
        <n v="1.323608336951802"/>
        <n v="1.3252086868001356"/>
        <n v="-1.2618667848176046"/>
        <n v="-1.2491738163330155"/>
        <n v="-1.237509946949602"/>
        <n v="-1.2276012852752165"/>
        <n v="-1.213189493433396"/>
        <n v="-1.2173358502954694"/>
        <n v="-1.2358596171376481"/>
        <n v="-1.2502598203880169"/>
        <n v="-1.2796643893084023"/>
        <n v="-1.312891598915989"/>
        <n v="-1.310824008138352"/>
        <n v="-1.3457032989273425"/>
        <n v="-0.6087827606290042"/>
        <n v="-0.6151765422077923"/>
        <n v="-0.6390671146874171"/>
        <n v="-0.7064276794240799"/>
        <n v="-0.6157222914072229"/>
        <n v="-0.7257273780680501"/>
        <n v="-2.235990287439296"/>
        <n v="-3.3250117858345494"/>
        <n v="-3.464571428571429"/>
        <n v="-3.464854273437904"/>
        <n v="-3.4616979836979835"/>
        <n v="-3.468281813498197"/>
        <n v="-3.5060084684498607"/>
        <n v="-3.5321666339676936"/>
        <n v="-3.5174"/>
        <n v="-3.528647186147186"/>
        <n v="-3.524689760882894"/>
        <n v="-3.5288268001112035"/>
        <n v="-3.534727034120735"/>
        <n v="-3.5375596883639107"/>
        <n v="0.7646845560947759"/>
        <n v="0.740925678682688"/>
        <n v="0.684997528423134"/>
        <n v="0.6313649222065064"/>
        <n v="0.626939400122424"/>
        <n v="0.6028860964734495"/>
        <n v="0.6241666666666666"/>
        <n v="0.6108505263157895"/>
        <n v="0.6157339667458431"/>
        <n v="0.5777295660948537"/>
        <n v="0.4797037037037037"/>
        <n v="0.5003262605521333"/>
        <n v="0.5033117183881427"/>
        <n v="0.44841435185185186"/>
        <n v="0.3938116449252307"/>
        <n v="-2.1133188787362553"/>
        <n v="-2.228671075278558"/>
        <n v="-2.2464476602350856"/>
        <n v="-2.313272335278961"/>
        <n v="-2.3539556419343772"/>
        <n v="-2.4052853811218853"/>
        <n v="-2.428276549474447"/>
        <n v="-2.4478063284233498"/>
        <n v="-2.4522078190719165"/>
        <n v="-2.4550131364944323"/>
        <n v="-2.454901349948079"/>
        <n v="-2.459105549762484"/>
        <n v="-2.464021072631488"/>
        <n v="1.8146873530794547"/>
        <n v="1.7509880395215809"/>
        <n v="1.8566642933428266"/>
        <n v="1.8572582294009405"/>
        <n v="1.8216923895689197"/>
        <n v="1.8333654425045152"/>
        <n v="1.867555084745763"/>
        <n v="1.7194086589229145"/>
        <n v="1.713055242390079"/>
        <n v="1.5985796989579313"/>
        <n v="1.2475159429092013"/>
        <n v="1.0856582086315334"/>
        <n v="1.1268881685575365"/>
        <n v="1.0288856833754056"/>
        <n v="1.0556092362344582"/>
        <n v="0.9492336171788227"/>
        <n v="1.0231233496793664"/>
        <n v="1.0342884530305265"/>
        <n v="1.0415820099405988"/>
        <n v="1.079808680753855"/>
        <n v="1.1479691061028108"/>
        <n v="1.010476386036961"/>
        <n v="0.8419937275985663"/>
        <n v="0.7436195995785038"/>
        <n v="0.7345558739255014"/>
        <n v="0.7153491827637445"/>
        <n v="0.7008023774145618"/>
        <n v="0.7324278803081885"/>
        <n v="3.293068678046844"/>
        <n v="2.6443367623172715"/>
        <n v="1.031342572542226"/>
        <n v="0.9749059645351961"/>
        <n v="0.9434114339268979"/>
        <n v="1.0778861788617886"/>
        <n v="1.0593700396825396"/>
        <n v="0.872745490981964"/>
        <n v="0.8728462709284628"/>
        <n v="0.7066166439290588"/>
        <n v="0.7061420682730923"/>
        <n v="0.7886776343190337"/>
        <n v="0.9745314823996034"/>
        <n v="0.8247888550282978"/>
        <n v="0.8849489489489489"/>
        <n v="0.8671959721146397"/>
        <n v="0.7367670830271859"/>
        <n v="5.293848555815769"/>
        <n v="5.63180926916221"/>
        <n v="5.870624151967435"/>
        <n v="5.232886115444618"/>
        <n v="5.016993801652893"/>
        <n v="6.088265162200282"/>
        <n v="5.746556818181818"/>
        <n v="5.625574817518248"/>
        <n v="4.081905222437137"/>
        <n v="3.3094484210526316"/>
        <n v="3.1473796147672553"/>
        <n v="1.2378341013824885"/>
        <n v="1.0848878923766816"/>
        <n v="0.3608114035087719"/>
        <n v="0.1383960292580982"/>
        <n v="-1.2294077025232404"/>
        <n v="-2.665324483775811"/>
        <n v="-0.4321062106210621"/>
        <n v="-0.8537399247716281"/>
        <n v="-1.8324078144078144"/>
        <n v="-3.1488188597546305"/>
        <n v="-3.0505593056894886"/>
        <n v="-3.4404070851460538"/>
        <n v="-3.2010384283246975"/>
        <n v="-3.029970031330881"/>
        <n v="-3.141411327762303"/>
        <n v="-3.163394566623545"/>
        <n v="-3.607532148260212"/>
        <n v="-3.525161742052934"/>
        <n v="-3.6539949201741653"/>
        <n v="-3.702070028628055"/>
        <n v="-1.1216254487435182"/>
        <n v="-1.3155579840575984"/>
        <n v="-0.8196096197815226"/>
        <n v="-0.849058014354067"/>
        <n v="-0.7916167664670658"/>
        <n v="-0.8301307922272048"/>
        <n v="-0.8535360763267741"/>
        <n v="-0.8329039233858512"/>
        <n v="-3.4482361334046723"/>
        <n v="-3.4824640743871513"/>
        <n v="-3.4454423407917383"/>
        <n v="-3.4056685177274666"/>
        <n v="-3.4408161983989953"/>
        <n v="-3.467266435986159"/>
        <n v="-3.4186461430820363"/>
        <n v="-3.3570159404888416"/>
        <n v="-0.768490099009901"/>
        <n v="-0.8422483940042826"/>
        <n v="-0.8592918882978723"/>
        <n v="-0.8811281526925698"/>
        <n v="-0.8603550295857988"/>
        <n v="-0.8402526724975704"/>
        <n v="-0.8448726114649682"/>
        <n v="-0.7952766251728908"/>
        <n v="-0.6543414888079125"/>
        <n v="-0.7128492697712868"/>
        <n v="-0.7053450772200772"/>
        <n v="-0.6940220385674931"/>
        <n v="-0.44166742804933756"/>
        <n v="-0.5502946127946128"/>
        <n v="-0.8840065573770491"/>
        <n v="-0.8670544554455446"/>
        <n v="-0.8945701357466064"/>
        <n v="-0.8716757457846952"/>
        <n v="-0.8976120189773327"/>
        <n v="-0.8868520179372198"/>
        <n v="-0.8671229946524064"/>
        <n v="-0.8910378006872852"/>
        <n v="-0.8773132183908047"/>
        <n v="-0.8204773561811506"/>
        <n v="-0.7447799259563965"/>
        <n v="-0.7641128451380552"/>
        <n v="-0.6543772048846676"/>
        <n v="-0.6303025413473174"/>
        <n v="-0.35824937655860345"/>
        <n v="-0.17466131907308377"/>
        <n v="-0.016950048030739674"/>
        <n v="0.09939370384764866"/>
        <n v="-0.002576099210822999"/>
        <n v="0.340878889823381"/>
        <n v="-2.6802909980962744"/>
        <n v="-2.6749755757152824"/>
        <n v="-2.5139412084921067"/>
        <n v="-2.5091688584955287"/>
        <n v="-2.450667437928273"/>
        <n v="-2.442497225305216"/>
        <n v="-2.431920971604516"/>
        <n v="-2.359711823323458"/>
        <n v="-2.2657166276346605"/>
        <n v="-2.219903318526261"/>
        <n v="-2.2096036036036035"/>
        <n v="-2.203348352576739"/>
        <n v="-2.208267738359202"/>
        <n v="0.4522558139534884"/>
        <n v="-2.1316877470355733"/>
        <n v="-2.1070188463735007"/>
        <n v="-2.160944617597698"/>
        <n v="-2.1403457577243747"/>
        <n v="-2.5959412650602407"/>
        <n v="-2.9204336322210787"/>
        <n v="-2.8941054492846807"/>
        <n v="-2.931669944032673"/>
        <n v="-3.0124448341370744"/>
        <n v="-3.0073017107309488"/>
        <n v="-3.1039786756453425"/>
        <n v="-3.115811492555679"/>
        <n v="0.2400472016183412"/>
        <n v="0.27995801259622116"/>
        <n v="0.2805862977602108"/>
        <n v="0.30714285714285716"/>
        <n v="0.2802830188679245"/>
        <n v="0.26838415702769014"/>
        <n v="0.27829368334700577"/>
        <n v="0.21427958307786635"/>
        <n v="0.262378764675855"/>
        <n v="0.2932357723577236"/>
        <n v="0.24274111675126905"/>
        <n v="0.22091428571428573"/>
        <n v="0.18178070548236294"/>
        <n v="0.18038683406854428"/>
        <n v="0.12176506765067652"/>
        <n v="0.10634615384615384"/>
        <n v="-3.416195652173913"/>
        <n v="-3.4272076372315037"/>
        <n v="-3.4847260161263782"/>
        <n v="-3.4384508842957597"/>
        <n v="-3.4379697890156806"/>
        <n v="-3.411979114030655"/>
        <n v="-3.4377655099894846"/>
        <n v="-3.338711389449103"/>
        <n v="-3.3004838343302794"/>
        <n v="-3.300063371356147"/>
        <n v="-3.2489520847219135"/>
        <n v="-3.261385849056604"/>
        <n v="-3.27421888053467"/>
        <n v="-3.2958995037220844"/>
        <n v="-0.36245400183992643"/>
        <n v="0.1381232150142799"/>
        <n v="0.14503307607497243"/>
        <n v="0.14913357400722022"/>
        <n v="0.15105143229166665"/>
        <n v="0.15472078593588418"/>
        <n v="0.21648340762753837"/>
        <n v="0.853758937691522"/>
        <n v="0.936008583690987"/>
        <n v="0.9784808013355593"/>
        <n v="1.0072313883299797"/>
        <n v="1.039624842370744"/>
        <n v="1.0510086840347361"/>
        <n v="1.1183369963369962"/>
        <n v="1.258070953436807"/>
        <n v="-2.188482116894446"/>
        <n v="1.3000557880055787"/>
        <n v="-2.1146637426900585"/>
        <n v="-2.9232874315276933"/>
        <n v="-2.0457501448156017"/>
        <n v="-1.9994894295971282"/>
        <n v="-2.0752552674230142"/>
        <n v="-2.0385398058252426"/>
        <n v="-2.0798257560584816"/>
        <n v="-2.048660431321017"/>
        <n v="-2.880068756650569"/>
        <n v="-2.0441065317661065"/>
        <n v="-1.9839828564529762"/>
        <n v="-1.902434178646422"/>
        <n v="-2.8974089612351066"/>
        <n v="0.5017169943820226"/>
        <n v="-2.855034293552812"/>
        <n v="-2.890407590279795"/>
        <n v="-2.8814172335600907"/>
        <n v="-2.8977591782385392"/>
        <n v="-2.902895662368113"/>
        <n v="-2.9066780045351477"/>
        <n v="-2.895144230769231"/>
        <n v="-2.8976457754859184"/>
        <n v="-2.9067438890915724"/>
        <n v="-2.9077529286474975"/>
        <n v="-2.8991392891450527"/>
        <n v="-2.7226992853216054"/>
        <n v="-2.820186618115612"/>
        <n v="1.412082504970179"/>
        <n v="-2.8930917194463994"/>
        <n v="-2.903827505407354"/>
        <n v="-2.868763644464246"/>
        <n v="-2.904971302428256"/>
        <n v="-2.902487223168654"/>
        <n v="-2.8973903610723695"/>
        <n v="-2.900762564991335"/>
        <n v="-2.8867346286079796"/>
        <n v="-2.9094797927461142"/>
        <n v="-2.880766157797118"/>
        <n v="-2.914213723477071"/>
        <n v="-2.9166117567415095"/>
        <n v="-2.8897985450475656"/>
        <n v="-2.869322193015396"/>
        <n v="-2.8909041800643087"/>
        <n v="-2.8829508373851973"/>
        <n v="-2.88896174863388"/>
        <n v="1.3947416762342135"/>
        <n v="1.4995245901639345"/>
        <n v="1.4936186540731995"/>
        <n v="1.4915834348355663"/>
        <n v="1.5538319783197834"/>
        <n v="1.5354564032697546"/>
        <n v="1.5661244979919677"/>
        <n v="1.5571267922406522"/>
        <n v="1.5311858037578288"/>
        <n v="1.6195283018867925"/>
        <n v="1.638832"/>
        <n v="1.7463359004739336"/>
        <n v="1.742331760615843"/>
        <n v="1.7530263157894737"/>
        <n v="1.738435972629521"/>
        <n v="1.802509702457956"/>
        <n v="-2.414968107725018"/>
        <n v="-2.368326824254882"/>
        <n v="-2.3268520710059173"/>
        <n v="-2.3308300921187306"/>
        <n v="-2.3293894993894995"/>
        <n v="-2.3519612314709235"/>
        <n v="-2.3482939399324687"/>
        <n v="-2.3518340341330695"/>
        <n v="-2.3467856604910375"/>
        <n v="-2.2779434121621622"/>
        <n v="-2.2309397417503587"/>
        <n v="-2.193820549927641"/>
        <n v="-2.217176700717235"/>
        <n v="-2.2393069858057335"/>
        <n v="-0.07684484389782402"/>
        <n v="-0.6109515859766278"/>
        <n v="-0.5951298904538341"/>
        <n v="-0.4301474269819194"/>
        <n v="-0.8829993183367416"/>
        <n v="-0.8439316770186336"/>
        <n v="-0.9708416220351952"/>
        <n v="-0.6847951219512195"/>
        <n v="-1.0005732828555975"/>
        <n v="-1.1287915309446255"/>
        <n v="-0.9187688139674894"/>
        <n v="-0.9636125126135218"/>
        <n v="-0.8035086737548964"/>
        <n v="-1.0177356446370531"/>
        <n v="-1.0192119089316989"/>
        <n v="-1.4555478662053056"/>
        <n v="-1.454013501073949"/>
        <n v="-1.3752659574468085"/>
        <n v="-1.599895685158843"/>
        <n v="-1.516471900089206"/>
        <n v="-1.4364246947082768"/>
        <n v="-1.5082259232440263"/>
        <n v="-1.356760365425158"/>
        <n v="-1.2949893048128343"/>
        <n v="-1.2111093644733886"/>
        <n v="-1.1843755535872453"/>
        <n v="-0.9510848601735776"/>
        <n v="-1.3676432486297958"/>
        <n v="-1.3043429158110884"/>
        <n v="-1.3651092611862643"/>
        <n v="-1.0948477979274611"/>
        <n v="-1.1373760330578513"/>
        <n v="-1.272988683127572"/>
        <n v="-1.4887693156732893"/>
        <n v="-1.504376199616123"/>
        <n v="-1.836780529461998"/>
        <n v="-1.8850338164251208"/>
        <n v="-1.826791277258567"/>
        <n v="-1.7002444589308998"/>
        <n v="-1.8934137191854234"/>
        <n v="-1.8409349112426034"/>
        <n v="-1.8177874186550975"/>
        <n v="-1.4402317880794702"/>
        <n v="-1.014339035769829"/>
        <n v="-0.9973429710867399"/>
        <n v="-0.9270825550989915"/>
        <n v="-0.39135650988411724"/>
        <n v="-0.22428010471204188"/>
        <n v="-4.605718553459119"/>
        <n v="-3.9369595519601743"/>
        <n v="-3.612521348314607"/>
        <n v="-3.4549143865842895"/>
        <n v="-3.217901216256304"/>
        <n v="-3.027652629798748"/>
        <n v="-3.0254624009875526"/>
        <n v="-2.9577000977169763"/>
        <n v="-2.775680063353791"/>
        <n v="-2.7453741496598636"/>
        <n v="-2.6086402979066023"/>
        <n v="-2.603736728366062"/>
        <n v="-2.4850499999999998"/>
        <n v="-2.59878156082632"/>
        <n v="2.015082872928177"/>
        <n v="1.9390973992860787"/>
        <n v="2.508311688311688"/>
        <n v="1.9964357338195078"/>
        <n v="2.0700204220558205"/>
        <n v="2.0700965018094086"/>
        <n v="1.8842588412340104"/>
        <n v="1.846823076923077"/>
        <n v="2.0559637774902977"/>
        <n v="2.193407894736842"/>
        <n v="2.0641937321937323"/>
        <n v="2.143255945639864"/>
        <n v="2.0653803339517625"/>
        <n v="2.5071263345195733"/>
        <n v="2.3625803722504233"/>
        <n v="-3.5976053691275167"/>
        <n v="-3.933225734639359"/>
        <n v="-4.125396192203083"/>
        <n v="-4.3984564969604865"/>
        <n v="-4.517693564862104"/>
        <n v="-4.489265734265734"/>
        <n v="-4.628472481343284"/>
        <n v="-4.630774785927989"/>
        <n v="-4.72221052631579"/>
        <n v="-4.656896581051199"/>
        <n v="-4.771197068403909"/>
        <n v="-4.841035332785538"/>
        <n v="-4.796135024920707"/>
        <n v="-4.772864677516576"/>
        <n v="1.2487916152897658"/>
        <n v="1.23880291005291"/>
        <n v="1.2350949859856741"/>
        <n v="1.2352057951926243"/>
        <n v="1.2333997252747253"/>
        <n v="1.2396791808873722"/>
        <n v="1.2374557956777996"/>
        <n v="1.239785046728972"/>
        <n v="1.2465954310980103"/>
        <n v="1.237487544483986"/>
        <n v="1.2383916578296217"/>
        <n v="1.2331443638760713"/>
        <n v="1.2361186561829878"/>
        <n v="1.2357357075913777"/>
        <n v="1.2331520940484937"/>
        <n v="1.2350105708245243"/>
        <n v="-1.3399464498214995"/>
        <n v="-1.3522497089639116"/>
        <n v="-1.335242386575513"/>
        <n v="-1.4380011951000895"/>
        <n v="-1.612754170601196"/>
        <n v="-3.397857458075905"/>
        <n v="-1.6409346951408232"/>
        <n v="-1.622781011512094"/>
        <n v="-3.424526372443488"/>
        <n v="-1.764767395093176"/>
        <n v="-1.6894710224166212"/>
        <n v="-1.7510535405872194"/>
        <n v="-3.352331181294713"/>
        <n v="-1.5686693017127797"/>
        <n v="-1.5798866368945381"/>
        <n v="-3.3392913484412166"/>
        <n v="-1.6757060439560438"/>
        <n v="1.8366809238665525"/>
        <n v="-3.3085443376068375"/>
        <n v="-3.266522770398482"/>
        <n v="-3.310765"/>
        <n v="-3.2464278714229717"/>
        <n v="-3.25685671835825"/>
        <n v="-3.3194940662086196"/>
        <n v="-3.257185640618802"/>
        <n v="-3.2834223859972367"/>
        <n v="-3.3153522132317947"/>
        <n v="-3.281247892074199"/>
        <n v="-3.260319831913155"/>
        <n v="-3.314260583361707"/>
        <n v="-3.474342922899885"/>
        <n v="2.7546670108415077"/>
        <n v="-3.302259493670886"/>
        <n v="-3.306341709994223"/>
        <n v="-4.734248894640354"/>
        <n v="-4.9257946166829525"/>
        <n v="-4.935552653813657"/>
        <n v="-4.96648830368399"/>
        <n v="-3.142594638286407"/>
        <n v="-3.1367112657211664"/>
        <n v="-3.0286153628117916"/>
        <n v="-3.1510048848569436"/>
        <n v="-3.071339898207568"/>
        <n v="-2.9670447983608086"/>
        <n v="-2.73133514986376"/>
        <n v="2.9308507734303912"/>
        <n v="-1.251216300940439"/>
        <n v="-1.0901022548505506"/>
        <n v="-1.2582216066481995"/>
        <n v="-1.2846892564637868"/>
        <n v="-2.7735385268520485"/>
        <n v="-1.190171519744715"/>
        <n v="-1.280576882290562"/>
        <n v="-2.7127527366387634"/>
        <n v="-2.5855489749430522"/>
        <n v="-2.8451859196826974"/>
        <n v="-2.876327741935484"/>
        <n v="-2.6044646996838776"/>
        <n v="-2.7633934276586034"/>
        <n v="-2.872326744753538"/>
        <n v="-2.8403802324269436"/>
        <n v="2.8690205081114173"/>
        <n v="2.9173941299790354"/>
        <n v="2.876360565110565"/>
        <n v="2.9319175360158964"/>
        <n v="2.8999763593380616"/>
        <n v="2.943874458874459"/>
        <n v="-3.0728723867595815"/>
        <n v="-3.1079966358284272"/>
        <n v="-3.0727617094755018"/>
        <n v="-3.082113872286883"/>
        <n v="-3.109314079422383"/>
        <n v="-3.149000852151683"/>
        <n v="-3.1347813336733394"/>
        <n v="-3.073860162601626"/>
        <n v="2.9306205747605163"/>
        <n v="2.993556415929204"/>
        <n v="2.9185273708558213"/>
        <n v="2.952409896151497"/>
        <n v="2.933556864521975"/>
        <n v="2.991739572736521"/>
        <n v="2.9867769962763755"/>
        <n v="2.9362469586374695"/>
        <n v="2.9983322214809873"/>
        <n v="2.950117872807018"/>
        <n v="2.94713456577816"/>
        <n v="2.9206349911190057"/>
        <n v="2.9638056851930417"/>
        <n v="2.950215743440233"/>
        <n v="-4.7656302345058625"/>
        <n v="3.1646253071253074"/>
        <n v="-3.5067499359467074"/>
        <n v="-3.3464538545059717"/>
        <n v="-3.301951275568835"/>
        <n v="-3.0982096208983756"/>
        <n v="-2.7926702269692925"/>
        <n v="-2.7578579409417396"/>
        <n v="-2.5986143630962784"/>
        <n v="-3.295344537815126"/>
        <n v="-3.2107592049527534"/>
        <n v="-3.150671264367816"/>
        <n v="-3.168802324436127"/>
        <n v="-2.1598398225726956"/>
        <n v="-2.1048975622406636"/>
        <n v="-2.0132245181455115"/>
        <n v="-2.056499315861488"/>
        <n v="-2.0592675276752765"/>
        <n v="-2.055244645313421"/>
        <n v="-2.116554953178906"/>
        <n v="4.779785679493424"/>
        <n v="5.633802739726027"/>
        <n v="5.602360655737705"/>
        <n v="5.436612083568606"/>
        <n v="5.359931790499391"/>
        <n v="5.545921680993314"/>
        <n v="5.025904761904762"/>
        <n v="4.929625203693645"/>
        <n v="-1.8897107529255905"/>
        <n v="4.88848009650181"/>
        <n v="4.641822442072377"/>
        <n v="-2.1847656587473003"/>
        <n v="4.550173310225303"/>
        <n v="4.56792899408284"/>
        <n v="4.2590930053804765"/>
        <n v="-0.09373700858563036"/>
        <n v="-0.3746503178928247"/>
        <n v="1.1414407294832827"/>
        <n v="1.0552183990016046"/>
        <n v="1.464991309385863"/>
        <n v="0.6432763466042154"/>
        <n v="-0.45214240305149395"/>
        <n v="-0.7262435407773534"/>
        <n v="-0.666730083234245"/>
        <n v="-0.5216289222373807"/>
        <n v="-0.32221650809976854"/>
        <n v="-0.10599893730074389"/>
        <n v="-1.6733887733887733"/>
        <n v="-1.1507863031071655"/>
        <n v="2.653077765607886"/>
        <n v="2.6287107623318384"/>
        <n v="2.665967654986523"/>
        <n v="2.524760147601476"/>
        <n v="2.483306908267271"/>
        <n v="2.5009056956115776"/>
        <n v="2.4441515151515154"/>
        <n v="2.40506519558676"/>
        <n v="2.5161199510403915"/>
        <n v="2.427690246516613"/>
        <n v="2.442261420171868"/>
        <n v="2.4695398773006136"/>
        <n v="2.493578302712161"/>
        <n v="2.467794024157661"/>
        <n v="1.645142857142857"/>
        <n v="0.47981936854887675"/>
        <n v="1.0467179759377212"/>
        <n v="0.36428954423592497"/>
        <n v="0.4626603001364256"/>
        <n v="0.2696345975948196"/>
        <n v="0.11192575406032482"/>
        <n v="-2.3589232531500572"/>
        <n v="-2.0879600450196962"/>
        <n v="-2.0611954791467686"/>
        <n v="-1.8276725613234455"/>
        <n v="-1.9732583810302535"/>
        <n v="0.2803677130044843"/>
        <n v="0.9479296875"/>
        <n v="3.0866462010744438"/>
        <n v="-3.620373895309313"/>
        <n v="-3.641805444355484"/>
        <n v="-3.2829051434479193"/>
        <n v="-3.01551048005409"/>
        <n v="-2.9227632642068406"/>
        <n v="-2.721309931506849"/>
        <n v="-2.393324844368987"/>
        <n v="-2.186224733753532"/>
        <n v="-1.9072453957192632"/>
        <n v="-1.9338103429738738"/>
        <n v="-2.2142218896964514"/>
        <n v="-2.0193223102002795"/>
        <n v="-1.8941597337770384"/>
        <n v="-2.609570070276974"/>
        <n v="-2.9891615791615793"/>
        <n v="-2.8193728698023177"/>
        <n v="-2.8153389624096774"/>
        <n v="-2.9754318723638367"/>
        <n v="-2.957890667390125"/>
        <n v="-2.6973596395079773"/>
        <n v="-2.667847963406665"/>
        <n v="-2.5967526595744683"/>
        <n v="-2.526892125215825"/>
        <n v="-2.5842012779552714"/>
        <n v="-2.4696871390065462"/>
        <n v="-2.6166871535309713"/>
        <n v="-2.5565779511299755"/>
        <n v="-2.3360246293639406"/>
        <n v="-2.379560849598163"/>
        <n v="-2.3573177579464555"/>
        <n v="-2.3283481474962597"/>
        <n v="-2.3446514482081495"/>
        <n v="5.483571880937302"/>
        <n v="5.522185039370079"/>
        <n v="5.553677884615384"/>
        <n v="5.626352395672334"/>
        <n v="5.669847207586934"/>
        <n v="5.6391840897501275"/>
        <n v="5.6252450980392155"/>
        <n v="5.625632973503436"/>
        <n v="5.606752688172043"/>
        <n v="5.528630806845966"/>
        <n v="5.521910352187834"/>
        <n v="5.6059513466550825"/>
        <n v="5.586491747778248"/>
        <n v="5.588301500682129"/>
        <n v="5.605304136253042"/>
        <n v="-1.3343145161290322"/>
        <n v="-2.068218344155844"/>
        <n v="-2.1153128054740957"/>
        <n v="-2.1096074924698796"/>
        <n v="-2.0874659188955995"/>
        <n v="-2.1394764222184928"/>
        <n v="-2.1628110142630748"/>
        <n v="-2.043935295677539"/>
        <n v="-2.1498085679769536"/>
        <n v="-2.1523226600985224"/>
        <n v="-2.0525715859030838"/>
        <n v="-2.0816032747740065"/>
        <n v="-2.1123239553853836"/>
        <n v="-2.122044358727097"/>
        <n v="5.690244776119403"/>
        <n v="-2.1760398740818467"/>
        <n v="-1.2747154060207437"/>
        <n v="-1.257874826147427"/>
        <n v="-2.0911355951964556"/>
        <n v="-1.26719502916561"/>
        <n v="-1.3173158888589156"/>
        <n v="-1.311231172233137"/>
        <n v="-2.12569637670081"/>
        <n v="-1.2484519046790747"/>
        <n v="-1.268946190729888"/>
        <n v="-2.1115246338215714"/>
        <n v="-1.2825554685460716"/>
        <n v="-1.2555992189406882"/>
        <n v="-1.2199658022228554"/>
        <n v="5.779716684155299"/>
        <n v="-2.765807200929152"/>
        <n v="-2.782940773120768"/>
        <n v="-2.728162111215834"/>
        <n v="-2.8415795813883453"/>
        <n v="-2.729337547741341"/>
        <n v="-2.744880972199101"/>
        <n v="-2.730181245074862"/>
        <n v="-2.7277139825512853"/>
        <n v="-2.7002258784160627"/>
        <n v="-2.641174222940701"/>
        <n v="-2.6656192312990767"/>
        <n v="-2.6711884711184912"/>
        <n v="-2.6855906948456743"/>
        <n v="-2.5774532633650376"/>
        <n v="6.033948004836759"/>
        <n v="6.044486251808972"/>
        <n v="6.057215392838054"/>
        <n v="6.04438689217759"/>
        <n v="6.062422018348624"/>
        <n v="6.024474885844748"/>
        <n v="5.995683544303797"/>
        <n v="6.0436929460580915"/>
        <n v="6.051068062827226"/>
        <n v="6.020070609002648"/>
        <n v="6.042903525046382"/>
        <n v="6.015753871230644"/>
        <n v="6.037022222222222"/>
        <n v="6.019812992125984"/>
        <n v="6.024641148325359"/>
        <n v="6.0273452544704265"/>
        <n v="6.026087193460491"/>
        <n v="6.031111111111111"/>
        <n v="6.052958984375"/>
        <n v="6.025229885057471"/>
        <n v="5.949459962756052"/>
        <n v="5.967025931928688"/>
        <n v="5.9208007197480885"/>
        <n v="5.9414689016321125"/>
        <n v="5.914904593639576"/>
        <n v="5.935342377260982"/>
        <n v="5.962894580107207"/>
        <n v="5.930026041666667"/>
        <n v="5.910999091734786"/>
        <n v="5.765549828178694"/>
        <n v="5.8872470588235295"/>
        <n v="5.865230769230769"/>
        <n v="5.837770345596432"/>
        <n v="5.804392905866303"/>
        <n v="-1.9439911256422233"/>
        <n v="-1.3810149982560167"/>
        <n v="-1.5972393949358763"/>
        <n v="-1.9801029468536866"/>
        <n v="-1.8225643176733781"/>
        <n v="-1.258905140890514"/>
        <n v="-1.5291096305269534"/>
        <n v="-1.6910180995475113"/>
        <n v="-1.6575556242274414"/>
        <n v="-1.6895365633463737"/>
        <n v="-1.6847548476454295"/>
        <n v="-1.8327387569479534"/>
        <n v="-1.6286383442265795"/>
        <n v="5.689217391304348"/>
        <n v="-2.0546632854325164"/>
        <n v="-2.114358357153603"/>
        <n v="-2.1065876059749695"/>
        <n v="-2.0865986721832"/>
        <n v="-2.109527401819392"/>
        <n v="-2.109026113013699"/>
        <n v="-2.1248598369011216"/>
        <n v="-2.0623446082682855"/>
        <n v="-2.1277512795382774"/>
        <n v="-2.04414404432133"/>
        <n v="-2.106615740740741"/>
        <n v="-2.1470354633109983"/>
        <n v="-2.1559117427075543"/>
        <n v="-2.1274706793538396"/>
        <n v="5.726600331674958"/>
        <n v="5.734178814382896"/>
        <n v="4.029102764736567"/>
        <n v="4.022001897533206"/>
        <n v="3.978059454995871"/>
        <n v="4.020921766072812"/>
        <n v="4.008132450331126"/>
        <n v="4.173346456692913"/>
        <n v="4.235059405940594"/>
        <n v="4.2236872475476055"/>
        <n v="4.2499194198227235"/>
        <n v="4.23587044534413"/>
        <n v="4.247636363636364"/>
        <n v="4.141085106382978"/>
        <n v="4.2325543916196615"/>
        <n v="4.15818094321463"/>
        <n v="4.249127700300793"/>
        <n v="4.295109100585418"/>
        <n v="4.2842459654980525"/>
        <n v="4.294458408138839"/>
        <n v="4.1922093023255815"/>
        <n v="1.0298671726755217"/>
        <n v="1.1942698826597131"/>
        <n v="1.1579554079696395"/>
        <n v="1.2557262073863635"/>
        <n v="1.6493917428301295"/>
        <n v="4.591112994350283"/>
        <n v="4.642949520233625"/>
        <n v="4.698808184143222"/>
        <n v="4.771936781609195"/>
        <n v="4.734489889705882"/>
        <n v="4.749925536574683"/>
        <n v="4.785163551401869"/>
        <n v="4.711963578780681"/>
        <n v="4.719475446428571"/>
        <n v="4.174114583333333"/>
        <n v="5.048214971209213"/>
        <n v="4.555117428924598"/>
        <n v="4.092785281788542"/>
        <n v="3.4419400749063667"/>
        <n v="4.069069069069069"/>
        <n v="3.839077568134172"/>
        <n v="4.5541505131128845"/>
        <n v="3.9846247240618102"/>
        <n v="4.095273454868831"/>
        <n v="3.9371278317152103"/>
        <n v="3.70934375"/>
        <n v="4.025393617021276"/>
        <n v="4.212260606060606"/>
        <n v="4.363237900477165"/>
        <n v="4.354240254574384"/>
        <n v="4.13664449064449"/>
        <n v="4.028784568111983"/>
        <n v="3.974285714285714"/>
        <n v="4.700695546064673"/>
        <n v="5.47136654325143"/>
        <n v="4.971265323992995"/>
        <n v="3.3652206531332745"/>
        <n v="2.9643676993397663"/>
        <n v="2.6743072033898305"/>
        <n v="2.447311785573512"/>
        <n v="2.5020564669973293"/>
        <n v="2.4722127296027336"/>
        <n v="2.4029615991583375"/>
        <n v="2.3877010804321728"/>
        <n v="2.2367075773745997"/>
        <n v="2.273145979703357"/>
        <n v="2.1193204734765456"/>
        <n v="2.32941348973607"/>
        <n v="3.395199449793673"/>
        <n v="3.2904707884288147"/>
      </sharedItems>
    </cacheField>
    <cacheField name="Daily % Gross Profit Per Unit" numFmtId="0">
      <sharedItems containsSemiMixedTypes="0" containsString="0" containsNumber="1">
        <n v="-2.74"/>
        <n v="-2.21"/>
        <n v="-1.39"/>
        <n v="-1.35"/>
        <n v="-2.11"/>
        <n v="-2.15"/>
        <n v="-2.17"/>
        <n v="-2.32"/>
        <n v="-2.46"/>
        <n v="2.41"/>
        <n v="2.77"/>
        <n v="2.31"/>
        <n v="2.35"/>
        <n v="2.49"/>
        <n v="1.81"/>
        <n v="1.83"/>
        <n v="2.04"/>
        <n v="2.0"/>
        <n v="1.88"/>
        <n v="1.7"/>
        <n v="1.12"/>
        <n v="1.74"/>
        <n v="1.57"/>
        <n v="1.35"/>
        <n v="1.28"/>
        <n v="1.38"/>
        <n v="1.37"/>
        <n v="1.51"/>
        <n v="1.53"/>
        <n v="1.73"/>
        <n v="1.25"/>
        <n v="-4.23"/>
        <n v="0.33"/>
        <n v="-3.97"/>
        <n v="-4.33"/>
        <n v="-4.7"/>
        <n v="-4.81"/>
        <n v="-3.19"/>
        <n v="-2.12"/>
        <n v="-1.98"/>
        <n v="-1.96"/>
        <n v="-1.7"/>
        <n v="-1.38"/>
        <n v="3.83"/>
        <n v="-1.23"/>
        <n v="3.81"/>
        <n v="-1.31"/>
        <n v="-3.52"/>
        <n v="-1.63"/>
        <n v="-1.02"/>
        <n v="-1.13"/>
        <n v="-1.41"/>
        <n v="-6.28"/>
        <n v="-3.74"/>
        <n v="-3.0"/>
        <n v="-3.48"/>
        <n v="-4.18"/>
        <n v="-4.26"/>
        <n v="-0.2"/>
        <n v="-4.11"/>
        <n v="-3.96"/>
        <n v="-3.99"/>
        <n v="-2.33"/>
        <n v="-2.84"/>
        <n v="-2.62"/>
        <n v="-2.73"/>
        <n v="-3.13"/>
        <n v="-2.9"/>
        <n v="-2.91"/>
        <n v="4.51"/>
        <n v="4.47"/>
        <n v="4.46"/>
        <n v="4.44"/>
        <n v="4.48"/>
        <n v="4.52"/>
        <n v="2.18"/>
        <n v="2.42"/>
        <n v="1.06"/>
        <n v="1.67"/>
        <n v="1.43"/>
        <n v="1.91"/>
        <n v="1.98"/>
        <n v="1.45"/>
        <n v="1.09"/>
        <n v="1.48"/>
        <n v="1.64"/>
        <n v="1.96"/>
        <n v="0.85"/>
        <n v="3.04"/>
        <n v="2.85"/>
        <n v="-2.2"/>
        <n v="-2.31"/>
        <n v="-2.35"/>
        <n v="-2.55"/>
        <n v="-2.56"/>
        <n v="-2.58"/>
        <n v="-2.63"/>
        <n v="-2.66"/>
        <n v="2.29"/>
        <n v="2.27"/>
        <n v="1.15"/>
        <n v="1.54"/>
        <n v="1.34"/>
        <n v="2.72"/>
        <n v="2.57"/>
        <n v="4.0"/>
        <n v="2.92"/>
        <n v="1.59"/>
        <n v="1.29"/>
        <n v="3.09"/>
        <n v="-1.57"/>
        <n v="2.74"/>
        <n v="-7.46"/>
        <n v="-7.77"/>
        <n v="-7.73"/>
        <n v="-7.86"/>
        <n v="-7.89"/>
        <n v="-8.44"/>
        <n v="-7.31"/>
        <n v="-6.37"/>
        <n v="-5.61"/>
        <n v="-4.77"/>
        <n v="-4.17"/>
        <n v="-5.4"/>
        <n v="-4.92"/>
        <n v="0.4"/>
        <n v="-4.36"/>
        <n v="-4.0"/>
        <n v="-3.4"/>
        <n v="-3.7"/>
        <n v="-3.78"/>
        <n v="-3.71"/>
        <n v="-3.68"/>
        <n v="-3.73"/>
        <n v="-3.77"/>
        <n v="-3.83"/>
        <n v="-3.87"/>
        <n v="-3.67"/>
        <n v="-4.24"/>
        <n v="-4.2"/>
        <n v="-3.86"/>
        <n v="-3.82"/>
        <n v="-3.95"/>
        <n v="-4.16"/>
        <n v="-4.1"/>
        <n v="-5.11"/>
        <n v="-1.08"/>
        <n v="-1.76"/>
        <n v="-0.32"/>
        <n v="-0.66"/>
        <n v="3.8"/>
        <n v="3.84"/>
        <n v="3.75"/>
        <n v="3.35"/>
        <n v="3.53"/>
        <n v="3.21"/>
        <n v="3.55"/>
        <n v="3.52"/>
        <n v="3.0"/>
        <n v="2.7"/>
        <n v="2.69"/>
        <n v="2.71"/>
        <n v="2.8"/>
        <n v="2.81"/>
        <n v="2.82"/>
        <n v="2.62"/>
        <n v="2.53"/>
        <n v="2.61"/>
        <n v="2.64"/>
        <n v="2.58"/>
        <n v="-5.18"/>
        <n v="2.45"/>
        <n v="-5.36"/>
        <n v="2.46"/>
        <n v="-4.82"/>
        <n v="-4.37"/>
        <n v="-4.28"/>
        <n v="-4.06"/>
        <n v="-4.08"/>
        <n v="-3.98"/>
        <n v="-4.02"/>
        <n v="3.78"/>
        <n v="-3.89"/>
        <n v="-3.85"/>
        <n v="-3.81"/>
        <n v="-3.75"/>
        <n v="-3.94"/>
        <n v="-4.05"/>
        <n v="-4.04"/>
        <n v="-4.15"/>
        <n v="-1.83"/>
        <n v="-1.85"/>
        <n v="-1.92"/>
        <n v="-1.84"/>
        <n v="-2.18"/>
        <n v="-7.02"/>
        <n v="-10.78"/>
        <n v="-11.28"/>
        <n v="-11.27"/>
        <n v="-11.25"/>
        <n v="-11.41"/>
        <n v="-11.5"/>
        <n v="-11.45"/>
        <n v="-11.48"/>
        <n v="-11.47"/>
        <n v="-11.51"/>
        <n v="2.11"/>
        <n v="1.8"/>
        <n v="1.79"/>
        <n v="1.72"/>
        <n v="1.78"/>
        <n v="1.76"/>
        <n v="1.65"/>
        <n v="1.44"/>
        <n v="-6.5"/>
        <n v="-6.87"/>
        <n v="-6.92"/>
        <n v="-7.13"/>
        <n v="-7.25"/>
        <n v="-7.41"/>
        <n v="-7.49"/>
        <n v="-7.55"/>
        <n v="-7.56"/>
        <n v="-7.57"/>
        <n v="-7.58"/>
        <n v="-7.6"/>
        <n v="4.94"/>
        <n v="4.78"/>
        <n v="5.05"/>
        <n v="4.96"/>
        <n v="4.99"/>
        <n v="5.08"/>
        <n v="4.68"/>
        <n v="4.66"/>
        <n v="4.35"/>
        <n v="3.39"/>
        <n v="2.95"/>
        <n v="3.07"/>
        <n v="2.87"/>
        <n v="2.59"/>
        <n v="2.78"/>
        <n v="2.84"/>
        <n v="2.94"/>
        <n v="3.12"/>
        <n v="2.75"/>
        <n v="2.02"/>
        <n v="1.95"/>
        <n v="1.99"/>
        <n v="8.36"/>
        <n v="6.71"/>
        <n v="2.51"/>
        <n v="2.86"/>
        <n v="2.32"/>
        <n v="2.1"/>
        <n v="2.2"/>
        <n v="12.56"/>
        <n v="13.3"/>
        <n v="13.86"/>
        <n v="12.48"/>
        <n v="11.98"/>
        <n v="14.21"/>
        <n v="13.39"/>
        <n v="13.17"/>
        <n v="9.56"/>
        <n v="7.78"/>
        <n v="7.46"/>
        <n v="0.9"/>
        <n v="0.34"/>
        <n v="-3.08"/>
        <n v="-6.91"/>
        <n v="-1.07"/>
        <n v="-4.64"/>
        <n v="-8.25"/>
        <n v="-7.93"/>
        <n v="-8.99"/>
        <n v="-8.35"/>
        <n v="-7.88"/>
        <n v="-8.15"/>
        <n v="-8.21"/>
        <n v="-9.43"/>
        <n v="-9.18"/>
        <n v="-9.56"/>
        <n v="-9.67"/>
        <n v="-2.75"/>
        <n v="-3.23"/>
        <n v="-1.99"/>
        <n v="-2.06"/>
        <n v="-2.02"/>
        <n v="-2.07"/>
        <n v="-8.93"/>
        <n v="-9.03"/>
        <n v="-8.92"/>
        <n v="-8.82"/>
        <n v="-8.87"/>
        <n v="-8.7"/>
        <n v="-1.87"/>
        <n v="-2.05"/>
        <n v="-2.09"/>
        <n v="-2.14"/>
        <n v="-2.04"/>
        <n v="-1.93"/>
        <n v="-1.59"/>
        <n v="-1.73"/>
        <n v="-1.71"/>
        <n v="-1.69"/>
        <n v="-1.34"/>
        <n v="-2.16"/>
        <n v="-2.13"/>
        <n v="-1.81"/>
        <n v="-1.86"/>
        <n v="-1.53"/>
        <n v="-0.87"/>
        <n v="-0.42"/>
        <n v="-0.04"/>
        <n v="0.24"/>
        <n v="-0.01"/>
        <n v="0.83"/>
        <n v="-7.11"/>
        <n v="-7.09"/>
        <n v="-6.67"/>
        <n v="-6.65"/>
        <n v="-6.49"/>
        <n v="-6.48"/>
        <n v="-6.45"/>
        <n v="-6.26"/>
        <n v="-6.01"/>
        <n v="-5.89"/>
        <n v="-5.86"/>
        <n v="-5.84"/>
        <n v="-5.65"/>
        <n v="-5.58"/>
        <n v="-5.73"/>
        <n v="-5.68"/>
        <n v="-6.88"/>
        <n v="-7.74"/>
        <n v="-7.67"/>
        <n v="-7.98"/>
        <n v="-7.95"/>
        <n v="-8.22"/>
        <n v="0.58"/>
        <n v="0.68"/>
        <n v="0.75"/>
        <n v="0.65"/>
        <n v="0.52"/>
        <n v="0.64"/>
        <n v="0.71"/>
        <n v="0.59"/>
        <n v="0.54"/>
        <n v="0.44"/>
        <n v="0.3"/>
        <n v="0.26"/>
        <n v="-9.05"/>
        <n v="-9.07"/>
        <n v="-9.24"/>
        <n v="-9.11"/>
        <n v="-9.04"/>
        <n v="-9.12"/>
        <n v="-8.85"/>
        <n v="-8.74"/>
        <n v="-8.6"/>
        <n v="-8.64"/>
        <n v="-8.67"/>
        <n v="-0.89"/>
        <n v="0.35"/>
        <n v="0.36"/>
        <n v="0.37"/>
        <n v="0.38"/>
        <n v="0.53"/>
        <n v="2.05"/>
        <n v="2.25"/>
        <n v="2.34"/>
        <n v="2.48"/>
        <n v="2.67"/>
        <n v="2.99"/>
        <n v="-5.67"/>
        <n v="-5.47"/>
        <n v="-5.29"/>
        <n v="-5.17"/>
        <n v="-5.38"/>
        <n v="-5.28"/>
        <n v="-5.39"/>
        <n v="-5.3"/>
        <n v="-7.62"/>
        <n v="-5.13"/>
        <n v="-4.91"/>
        <n v="1.22"/>
        <n v="-7.66"/>
        <n v="-7.63"/>
        <n v="-7.68"/>
        <n v="-7.69"/>
        <n v="-7.7"/>
        <n v="-7.71"/>
        <n v="-7.18"/>
        <n v="3.36"/>
        <n v="-7.65"/>
        <n v="-7.64"/>
        <n v="3.32"/>
        <n v="3.57"/>
        <n v="3.7"/>
        <n v="3.65"/>
        <n v="3.72"/>
        <n v="3.85"/>
        <n v="3.9"/>
        <n v="4.15"/>
        <n v="4.14"/>
        <n v="4.17"/>
        <n v="4.29"/>
        <n v="-6.39"/>
        <n v="-6.27"/>
        <n v="-6.15"/>
        <n v="-6.17"/>
        <n v="-6.23"/>
        <n v="-6.22"/>
        <n v="-6.03"/>
        <n v="-5.9"/>
        <n v="-5.8"/>
        <n v="-5.93"/>
        <n v="-0.19"/>
        <n v="-1.55"/>
        <n v="-1.51"/>
        <n v="-1.09"/>
        <n v="-2.26"/>
        <n v="-2.48"/>
        <n v="-1.75"/>
        <n v="-2.57"/>
        <n v="-2.36"/>
        <n v="-2.61"/>
        <n v="-3.54"/>
        <n v="-4.13"/>
        <n v="-3.92"/>
        <n v="-3.72"/>
        <n v="-3.9"/>
        <n v="-3.5"/>
        <n v="-3.34"/>
        <n v="-3.11"/>
        <n v="-3.03"/>
        <n v="-2.43"/>
        <n v="-3.53"/>
        <n v="-3.37"/>
        <n v="-2.81"/>
        <n v="-2.92"/>
        <n v="-3.28"/>
        <n v="-3.91"/>
        <n v="-4.94"/>
        <n v="-4.78"/>
        <n v="-4.45"/>
        <n v="-4.97"/>
        <n v="-4.83"/>
        <n v="-1.01"/>
        <n v="-0.58"/>
        <n v="-13.46"/>
        <n v="-10.54"/>
        <n v="-10.1"/>
        <n v="-9.41"/>
        <n v="-8.84"/>
        <n v="-8.65"/>
        <n v="-8.11"/>
        <n v="-8.03"/>
        <n v="-7.61"/>
        <n v="-7.24"/>
        <n v="-7.59"/>
        <n v="5.19"/>
        <n v="5.0"/>
        <n v="6.38"/>
        <n v="5.1"/>
        <n v="5.3"/>
        <n v="5.28"/>
        <n v="4.8"/>
        <n v="4.71"/>
        <n v="5.26"/>
        <n v="5.6"/>
        <n v="5.29"/>
        <n v="5.49"/>
        <n v="5.32"/>
        <n v="6.36"/>
        <n v="5.99"/>
        <n v="-10.71"/>
        <n v="-11.78"/>
        <n v="-12.36"/>
        <n v="-13.18"/>
        <n v="-13.54"/>
        <n v="-13.45"/>
        <n v="-13.87"/>
        <n v="-14.16"/>
        <n v="-13.91"/>
        <n v="-14.29"/>
        <n v="-14.52"/>
        <n v="-14.37"/>
        <n v="3.17"/>
        <n v="3.14"/>
        <n v="3.13"/>
        <n v="3.16"/>
        <n v="-3.64"/>
        <n v="-3.62"/>
        <n v="-4.38"/>
        <n v="-4.4"/>
        <n v="-9.75"/>
        <n v="-4.79"/>
        <n v="-4.59"/>
        <n v="-4.75"/>
        <n v="-9.54"/>
        <n v="-4.29"/>
        <n v="-9.52"/>
        <n v="-4.55"/>
        <n v="4.56"/>
        <n v="-9.42"/>
        <n v="-9.31"/>
        <n v="-9.44"/>
        <n v="-9.25"/>
        <n v="-9.28"/>
        <n v="-9.45"/>
        <n v="-9.27"/>
        <n v="-9.36"/>
        <n v="-9.35"/>
        <n v="-9.9"/>
        <n v="6.69"/>
        <n v="-9.4"/>
        <n v="-14.1"/>
        <n v="-14.75"/>
        <n v="-14.78"/>
        <n v="-14.86"/>
        <n v="-8.95"/>
        <n v="-8.98"/>
        <n v="-8.42"/>
        <n v="7.12"/>
        <n v="-3.39"/>
        <n v="-2.94"/>
        <n v="-3.41"/>
        <n v="-7.84"/>
        <n v="-3.22"/>
        <n v="-3.47"/>
        <n v="-7.26"/>
        <n v="-8.05"/>
        <n v="-7.32"/>
        <n v="-7.8"/>
        <n v="-8.14"/>
        <n v="-8.04"/>
        <n v="6.99"/>
        <n v="7.1"/>
        <n v="7.0"/>
        <n v="7.13"/>
        <n v="7.06"/>
        <n v="7.16"/>
        <n v="-8.75"/>
        <n v="-8.86"/>
        <n v="-8.78"/>
        <n v="-8.94"/>
        <n v="-8.76"/>
        <n v="7.27"/>
        <n v="7.18"/>
        <n v="7.26"/>
        <n v="7.14"/>
        <n v="7.29"/>
        <n v="7.17"/>
        <n v="7.21"/>
        <n v="-14.26"/>
        <n v="7.68"/>
        <n v="-10.25"/>
        <n v="-9.78"/>
        <n v="-9.63"/>
        <n v="-8.06"/>
        <n v="-9.85"/>
        <n v="-9.61"/>
        <n v="-9.49"/>
        <n v="-6.3"/>
        <n v="-6.0"/>
        <n v="-5.99"/>
        <n v="-6.18"/>
        <n v="11.61"/>
        <n v="13.41"/>
        <n v="13.34"/>
        <n v="12.94"/>
        <n v="12.75"/>
        <n v="13.2"/>
        <n v="11.97"/>
        <n v="11.73"/>
        <n v="11.65"/>
        <n v="11.06"/>
        <n v="10.83"/>
        <n v="10.87"/>
        <n v="10.15"/>
        <n v="-0.25"/>
        <n v="-1.03"/>
        <n v="2.98"/>
        <n v="1.68"/>
        <n v="-1.18"/>
        <n v="-1.89"/>
        <n v="-0.82"/>
        <n v="-0.27"/>
        <n v="-4.42"/>
        <n v="6.32"/>
        <n v="6.26"/>
        <n v="6.34"/>
        <n v="6.01"/>
        <n v="5.9"/>
        <n v="5.95"/>
        <n v="5.81"/>
        <n v="5.72"/>
        <n v="5.98"/>
        <n v="5.79"/>
        <n v="5.82"/>
        <n v="5.87"/>
        <n v="5.93"/>
        <n v="5.89"/>
        <n v="1.2"/>
        <n v="0.92"/>
        <n v="1.16"/>
        <n v="0.28"/>
        <n v="-6.4"/>
        <n v="-5.66"/>
        <n v="-5.57"/>
        <n v="-5.32"/>
        <n v="2.37"/>
        <n v="7.34"/>
        <n v="-10.27"/>
        <n v="-10.33"/>
        <n v="-8.52"/>
        <n v="-8.27"/>
        <n v="-6.8"/>
        <n v="-6.2"/>
        <n v="-5.41"/>
        <n v="-5.49"/>
        <n v="-5.74"/>
        <n v="-8.24"/>
        <n v="-8.72"/>
        <n v="-7.9"/>
        <n v="-7.82"/>
        <n v="-7.39"/>
        <n v="-7.23"/>
        <n v="-6.83"/>
        <n v="-6.97"/>
        <n v="-6.9"/>
        <n v="-6.82"/>
        <n v="-6.86"/>
        <n v="13.04"/>
        <n v="13.13"/>
        <n v="13.38"/>
        <n v="13.48"/>
        <n v="13.37"/>
        <n v="13.33"/>
        <n v="13.14"/>
        <n v="13.28"/>
        <n v="13.29"/>
        <n v="13.32"/>
        <n v="-3.8"/>
        <n v="-6.16"/>
        <n v="-6.09"/>
        <n v="-6.25"/>
        <n v="-6.32"/>
        <n v="-5.95"/>
        <n v="-6.29"/>
        <n v="-5.98"/>
        <n v="-6.07"/>
        <n v="-6.19"/>
        <n v="13.53"/>
        <n v="-6.36"/>
        <n v="-3.63"/>
        <n v="-3.58"/>
        <n v="-6.1"/>
        <n v="-3.61"/>
        <n v="-6.21"/>
        <n v="-3.55"/>
        <n v="-3.65"/>
        <n v="13.75"/>
        <n v="-8.28"/>
        <n v="-8.33"/>
        <n v="-8.16"/>
        <n v="-8.17"/>
        <n v="-8.18"/>
        <n v="-8.09"/>
        <n v="-7.91"/>
        <n v="-7.99"/>
        <n v="-8.0"/>
        <n v="14.34"/>
        <n v="14.37"/>
        <n v="14.4"/>
        <n v="14.36"/>
        <n v="14.42"/>
        <n v="14.32"/>
        <n v="14.26"/>
        <n v="14.38"/>
        <n v="14.31"/>
        <n v="14.3"/>
        <n v="14.35"/>
        <n v="14.33"/>
        <n v="14.39"/>
        <n v="14.14"/>
        <n v="14.19"/>
        <n v="14.08"/>
        <n v="14.13"/>
        <n v="14.06"/>
        <n v="14.11"/>
        <n v="14.17"/>
        <n v="14.1"/>
        <n v="13.7"/>
        <n v="14.0"/>
        <n v="13.95"/>
        <n v="13.88"/>
        <n v="13.8"/>
        <n v="-4.61"/>
        <n v="-5.78"/>
        <n v="-3.6"/>
        <n v="-4.89"/>
        <n v="-4.87"/>
        <n v="13.52"/>
        <n v="-6.06"/>
        <n v="-6.11"/>
        <n v="-6.04"/>
        <n v="13.61"/>
        <n v="13.63"/>
        <n v="9.99"/>
        <n v="9.97"/>
        <n v="9.87"/>
        <n v="9.95"/>
        <n v="10.34"/>
        <n v="10.5"/>
        <n v="10.48"/>
        <n v="10.54"/>
        <n v="10.26"/>
        <n v="10.49"/>
        <n v="10.31"/>
        <n v="10.53"/>
        <n v="10.64"/>
        <n v="10.63"/>
        <n v="10.65"/>
        <n v="10.4"/>
        <n v="4.41"/>
        <n v="11.38"/>
        <n v="11.52"/>
        <n v="11.81"/>
        <n v="11.74"/>
        <n v="11.78"/>
        <n v="11.87"/>
        <n v="11.68"/>
        <n v="11.71"/>
        <n v="10.33"/>
        <n v="10.61"/>
        <n v="9.53"/>
        <n v="8.02"/>
        <n v="9.48"/>
        <n v="8.94"/>
        <n v="10.6"/>
        <n v="9.34"/>
        <n v="9.59"/>
        <n v="9.21"/>
        <n v="8.67"/>
        <n v="9.43"/>
        <n v="10.24"/>
        <n v="10.2"/>
        <n v="9.7"/>
        <n v="9.44"/>
        <n v="9.31"/>
        <n v="11.0"/>
        <n v="12.8"/>
        <n v="11.64"/>
        <n v="7.86"/>
        <n v="6.93"/>
        <n v="6.25"/>
        <n v="5.83"/>
        <n v="5.76"/>
        <n v="5.59"/>
        <n v="5.56"/>
        <n v="5.21"/>
        <n v="5.43"/>
        <n v="7.75"/>
        <n v="7.51"/>
      </sharedItems>
    </cacheField>
    <cacheField name="Promotion Status" numFmtId="0">
      <sharedItems>
        <s v="Promotion"/>
        <s v="Non-promotion"/>
      </sharedItems>
    </cacheField>
    <cacheField name="Promotion Period" numFmtId="0">
      <sharedItems>
        <s v="Promotion period 1"/>
        <s v="Non Promotion"/>
        <s v="Promotion period 2"/>
        <s v="Promotion period 3"/>
        <s v="Promotion period 4"/>
      </sharedItems>
    </cacheField>
    <cacheField name="Price Elasticity of Demand">
      <sharedItems containsMixedTypes="1" containsNumber="1">
        <n v="-4.12"/>
        <s v="null"/>
        <n v="-2.75"/>
        <n v="-8.55"/>
        <n v="-7.16"/>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T1054" sheet="FNB Sales Dataset"/>
  </cacheSource>
  <cacheFields>
    <cacheField name="Date" numFmtId="164">
      <sharedItems containsSemiMixedTypes="0" containsNonDate="0" containsDate="1" containsString="0">
        <d v="2013-12-30T00:00:00Z"/>
        <d v="2013-12-31T00:00:00Z"/>
        <d v="2014-01-01T00:00:00Z"/>
        <d v="2014-01-02T00:00:00Z"/>
        <d v="2014-01-03T00:00:00Z"/>
        <d v="2014-01-04T00:00:00Z"/>
        <d v="2014-01-05T00:00:00Z"/>
        <d v="2014-01-06T00:00:00Z"/>
        <d v="2014-01-07T00:00:00Z"/>
        <d v="2014-01-08T00:00:00Z"/>
        <d v="2014-01-09T00:00:00Z"/>
        <d v="2014-01-10T00:00:00Z"/>
        <d v="2014-01-11T00:00:00Z"/>
        <d v="2014-01-12T00:00:00Z"/>
        <d v="2014-01-13T00:00:00Z"/>
        <d v="2014-01-14T00:00:00Z"/>
        <d v="2014-01-15T00:00:00Z"/>
        <d v="2014-01-16T00:00:00Z"/>
        <d v="2014-01-17T00:00:00Z"/>
        <d v="2014-01-18T00:00:00Z"/>
        <d v="2014-01-19T00:00:00Z"/>
        <d v="2014-01-20T00:00:00Z"/>
        <d v="2014-01-21T00:00:00Z"/>
        <d v="2014-01-22T00:00:00Z"/>
        <d v="2014-01-23T00:00:00Z"/>
        <d v="2014-01-24T00:00:00Z"/>
        <d v="2014-01-25T00:00:00Z"/>
        <d v="2014-01-26T00:00:00Z"/>
        <d v="2014-01-27T00:00:00Z"/>
        <d v="2014-01-28T00:00:00Z"/>
        <d v="2014-01-29T00:00:00Z"/>
        <d v="2014-01-30T00:00:00Z"/>
        <d v="2014-01-31T00:00:00Z"/>
        <d v="2014-02-01T00:00:00Z"/>
        <d v="2014-02-02T00:00:00Z"/>
        <d v="2014-02-03T00:00:00Z"/>
        <d v="2014-02-04T00:00:00Z"/>
        <d v="2014-02-05T00:00:00Z"/>
        <d v="2014-02-06T00:00:00Z"/>
        <d v="2014-02-07T00:00:00Z"/>
        <d v="2014-02-08T00:00:00Z"/>
        <d v="2014-02-09T00:00:00Z"/>
        <d v="2014-02-10T00:00:00Z"/>
        <d v="2014-02-11T00:00:00Z"/>
        <d v="2014-02-12T00:00:00Z"/>
        <d v="2014-02-13T00:00:00Z"/>
        <d v="2014-02-14T00:00:00Z"/>
        <d v="2014-02-15T00:00:00Z"/>
        <d v="2014-02-16T00:00:00Z"/>
        <d v="2014-02-17T00:00:00Z"/>
        <d v="2014-02-18T00:00:00Z"/>
        <d v="2014-02-19T00:00:00Z"/>
        <d v="2014-02-20T00:00:00Z"/>
        <d v="2014-02-21T00:00:00Z"/>
        <d v="2014-02-22T00:00:00Z"/>
        <d v="2014-02-23T00:00:00Z"/>
        <d v="2014-02-24T00:00:00Z"/>
        <d v="2014-02-25T00:00:00Z"/>
        <d v="2014-02-26T00:00:00Z"/>
        <d v="2014-02-27T00:00:00Z"/>
        <d v="2014-02-28T00:00:00Z"/>
        <d v="2014-03-01T00:00:00Z"/>
        <d v="2014-03-02T00:00:00Z"/>
        <d v="2014-03-03T00:00:00Z"/>
        <d v="2014-03-04T00:00:00Z"/>
        <d v="2014-03-05T00:00:00Z"/>
        <d v="2014-03-06T00:00:00Z"/>
        <d v="2014-03-07T00:00:00Z"/>
        <d v="2014-03-08T00:00:00Z"/>
        <d v="2014-03-09T00:00:00Z"/>
        <d v="2014-03-10T00:00:00Z"/>
        <d v="2014-03-11T00:00:00Z"/>
        <d v="2014-03-12T00:00:00Z"/>
        <d v="2014-03-13T00:00:00Z"/>
        <d v="2014-03-14T00:00:00Z"/>
        <d v="2014-03-15T00:00:00Z"/>
        <d v="2014-03-16T00:00:00Z"/>
        <d v="2014-03-17T00:00:00Z"/>
        <d v="2014-03-18T00:00:00Z"/>
        <d v="2014-03-19T00:00:00Z"/>
        <d v="2014-03-20T00:00:00Z"/>
        <d v="2014-03-21T00:00:00Z"/>
        <d v="2014-03-22T00:00:00Z"/>
        <d v="2014-03-23T00:00:00Z"/>
        <d v="2014-03-24T00:00:00Z"/>
        <d v="2014-03-25T00:00:00Z"/>
        <d v="2014-03-26T00:00:00Z"/>
        <d v="2014-03-27T00:00:00Z"/>
        <d v="2014-03-28T00:00:00Z"/>
        <d v="2014-03-29T00:00:00Z"/>
        <d v="2014-03-30T00:00:00Z"/>
        <d v="2014-03-31T00:00:00Z"/>
        <d v="2014-04-01T00:00:00Z"/>
        <d v="2014-04-02T00:00:00Z"/>
        <d v="2014-04-03T00:00:00Z"/>
        <d v="2014-04-04T00:00:00Z"/>
        <d v="2014-04-05T00:00:00Z"/>
        <d v="2014-04-06T00:00:00Z"/>
        <d v="2014-04-07T00:00:00Z"/>
        <d v="2014-04-08T00:00:00Z"/>
        <d v="2014-04-09T00:00:00Z"/>
        <d v="2014-04-10T00:00:00Z"/>
        <d v="2014-04-11T00:00:00Z"/>
        <d v="2014-04-12T00:00:00Z"/>
        <d v="2014-04-13T00:00:00Z"/>
        <d v="2014-04-14T00:00:00Z"/>
        <d v="2014-04-15T00:00:00Z"/>
        <d v="2014-04-16T00:00:00Z"/>
        <d v="2014-04-17T00:00:00Z"/>
        <d v="2014-04-18T00:00:00Z"/>
        <d v="2014-04-19T00:00:00Z"/>
        <d v="2014-04-20T00:00:00Z"/>
        <d v="2014-04-21T00:00:00Z"/>
        <d v="2014-04-22T00:00:00Z"/>
        <d v="2014-04-23T00:00:00Z"/>
        <d v="2014-04-24T00:00:00Z"/>
        <d v="2014-04-25T00:00:00Z"/>
        <d v="2014-04-26T00:00:00Z"/>
        <d v="2014-04-27T00:00:00Z"/>
        <d v="2014-04-28T00:00:00Z"/>
        <d v="2014-04-29T00:00:00Z"/>
        <d v="2014-04-30T00:00:00Z"/>
        <d v="2014-05-01T00:00:00Z"/>
        <d v="2014-05-02T00:00:00Z"/>
        <d v="2014-05-03T00:00:00Z"/>
        <d v="2014-05-04T00:00:00Z"/>
        <d v="2014-05-05T00:00:00Z"/>
        <d v="2014-05-06T00:00:00Z"/>
        <d v="2014-05-07T00:00:00Z"/>
        <d v="2014-05-08T00:00:00Z"/>
        <d v="2014-05-09T00:00:00Z"/>
        <d v="2014-05-10T00:00:00Z"/>
        <d v="2014-05-11T00:00:00Z"/>
        <d v="2014-05-12T00:00:00Z"/>
        <d v="2014-05-13T00:00:00Z"/>
        <d v="2014-05-14T00:00:00Z"/>
        <d v="2014-05-15T00:00:00Z"/>
        <d v="2014-05-16T00:00:00Z"/>
        <d v="2014-05-17T00:00:00Z"/>
        <d v="2014-05-18T00:00:00Z"/>
        <d v="2014-05-19T00:00:00Z"/>
        <d v="2014-05-20T00:00:00Z"/>
        <d v="2014-05-21T00:00:00Z"/>
        <d v="2014-05-22T00:00:00Z"/>
        <d v="2014-05-23T00:00:00Z"/>
        <d v="2014-05-24T00:00:00Z"/>
        <d v="2014-05-25T00:00:00Z"/>
        <d v="2014-05-26T00:00:00Z"/>
        <d v="2014-05-27T00:00:00Z"/>
        <d v="2014-05-28T00:00:00Z"/>
        <d v="2014-05-29T00:00:00Z"/>
        <d v="2014-05-30T00:00:00Z"/>
        <d v="2014-05-31T00:00:00Z"/>
        <d v="2014-06-01T00:00:00Z"/>
        <d v="2014-06-02T00:00:00Z"/>
        <d v="2014-06-03T00:00:00Z"/>
        <d v="2014-06-04T00:00:00Z"/>
        <d v="2014-06-05T00:00:00Z"/>
        <d v="2014-06-06T00:00:00Z"/>
        <d v="2014-06-07T00:00:00Z"/>
        <d v="2014-06-08T00:00:00Z"/>
        <d v="2014-06-09T00:00:00Z"/>
        <d v="2014-06-10T00:00:00Z"/>
        <d v="2014-06-11T00:00:00Z"/>
        <d v="2014-06-12T00:00:00Z"/>
        <d v="2014-06-13T00:00:00Z"/>
        <d v="2014-06-14T00:00:00Z"/>
        <d v="2014-06-15T00:00:00Z"/>
        <d v="2014-06-16T00:00:00Z"/>
        <d v="2014-06-17T00:00:00Z"/>
        <d v="2014-06-18T00:00:00Z"/>
        <d v="2014-06-19T00:00:00Z"/>
        <d v="2014-06-20T00:00:00Z"/>
        <d v="2014-06-21T00:00:00Z"/>
        <d v="2014-06-22T00:00:00Z"/>
        <d v="2014-06-23T00:00:00Z"/>
        <d v="2014-06-24T00:00:00Z"/>
        <d v="2014-06-25T00:00:00Z"/>
        <d v="2014-06-26T00:00:00Z"/>
        <d v="2014-06-27T00:00:00Z"/>
        <d v="2014-06-28T00:00:00Z"/>
        <d v="2014-06-29T00:00:00Z"/>
        <d v="2014-06-30T00:00:00Z"/>
        <d v="2014-07-01T00:00:00Z"/>
        <d v="2014-07-02T00:00:00Z"/>
        <d v="2014-07-03T00:00:00Z"/>
        <d v="2014-07-04T00:00:00Z"/>
        <d v="2014-07-05T00:00:00Z"/>
        <d v="2014-07-06T00:00:00Z"/>
        <d v="2014-07-07T00:00:00Z"/>
        <d v="2014-07-08T00:00:00Z"/>
        <d v="2014-07-09T00:00:00Z"/>
        <d v="2014-07-10T00:00:00Z"/>
        <d v="2014-07-11T00:00:00Z"/>
        <d v="2014-07-12T00:00:00Z"/>
        <d v="2014-07-13T00:00:00Z"/>
        <d v="2014-07-14T00:00:00Z"/>
        <d v="2014-07-15T00:00:00Z"/>
        <d v="2014-07-16T00:00:00Z"/>
        <d v="2014-07-17T00:00:00Z"/>
        <d v="2014-07-18T00:00:00Z"/>
        <d v="2014-07-19T00:00:00Z"/>
        <d v="2014-07-20T00:00:00Z"/>
        <d v="2014-07-21T00:00:00Z"/>
        <d v="2014-07-22T00:00:00Z"/>
        <d v="2014-07-23T00:00:00Z"/>
        <d v="2014-07-24T00:00:00Z"/>
        <d v="2014-07-25T00:00:00Z"/>
        <d v="2014-07-26T00:00:00Z"/>
        <d v="2014-07-27T00:00:00Z"/>
        <d v="2014-07-28T00:00:00Z"/>
        <d v="2014-07-29T00:00:00Z"/>
        <d v="2014-07-30T00:00:00Z"/>
        <d v="2014-07-31T00:00:00Z"/>
        <d v="2014-08-01T00:00:00Z"/>
        <d v="2014-08-02T00:00:00Z"/>
        <d v="2014-08-03T00:00:00Z"/>
        <d v="2014-08-04T00:00:00Z"/>
        <d v="2014-08-05T00:00:00Z"/>
        <d v="2014-08-06T00:00:00Z"/>
        <d v="2014-08-07T00:00:00Z"/>
        <d v="2014-08-08T00:00:00Z"/>
        <d v="2014-08-09T00:00:00Z"/>
        <d v="2014-08-10T00:00:00Z"/>
        <d v="2014-08-11T00:00:00Z"/>
        <d v="2014-08-12T00:00:00Z"/>
        <d v="2014-08-13T00:00:00Z"/>
        <d v="2014-08-14T00:00:00Z"/>
        <d v="2014-08-15T00:00:00Z"/>
        <d v="2014-08-16T00:00:00Z"/>
        <d v="2014-08-17T00:00:00Z"/>
        <d v="2014-08-18T00:00:00Z"/>
        <d v="2014-08-19T00:00:00Z"/>
        <d v="2014-08-20T00:00:00Z"/>
        <d v="2014-08-21T00:00:00Z"/>
        <d v="2014-08-22T00:00:00Z"/>
        <d v="2014-08-23T00:00:00Z"/>
        <d v="2014-08-24T00:00:00Z"/>
        <d v="2014-08-25T00:00:00Z"/>
        <d v="2014-08-26T00:00:00Z"/>
        <d v="2014-08-27T00:00:00Z"/>
        <d v="2014-08-28T00:00:00Z"/>
        <d v="2014-08-29T00:00:00Z"/>
        <d v="2014-08-30T00:00:00Z"/>
        <d v="2014-08-31T00:00:00Z"/>
        <d v="2014-09-01T00:00:00Z"/>
        <d v="2014-09-02T00:00:00Z"/>
        <d v="2014-09-03T00:00:00Z"/>
        <d v="2014-09-04T00:00:00Z"/>
        <d v="2014-09-05T00:00:00Z"/>
        <d v="2014-09-06T00:00:00Z"/>
        <d v="2014-09-07T00:00:00Z"/>
        <d v="2014-09-08T00:00:00Z"/>
        <d v="2014-09-09T00:00:00Z"/>
        <d v="2014-09-10T00:00:00Z"/>
        <d v="2014-09-11T00:00:00Z"/>
        <d v="2014-09-12T00:00:00Z"/>
        <d v="2014-09-13T00:00:00Z"/>
        <d v="2014-09-14T00:00:00Z"/>
        <d v="2014-09-15T00:00:00Z"/>
        <d v="2014-09-16T00:00:00Z"/>
        <d v="2014-09-17T00:00:00Z"/>
        <d v="2014-09-18T00:00:00Z"/>
        <d v="2014-09-19T00:00:00Z"/>
        <d v="2014-09-20T00:00:00Z"/>
        <d v="2014-09-21T00:00:00Z"/>
        <d v="2014-09-22T00:00:00Z"/>
        <d v="2014-09-23T00:00:00Z"/>
        <d v="2014-09-24T00:00:00Z"/>
        <d v="2014-09-25T00:00:00Z"/>
        <d v="2014-09-26T00:00:00Z"/>
        <d v="2014-09-27T00:00:00Z"/>
        <d v="2014-09-28T00:00:00Z"/>
        <d v="2014-09-29T00:00:00Z"/>
        <d v="2014-09-30T00:00:00Z"/>
        <d v="2014-10-01T00:00:00Z"/>
        <d v="2014-10-02T00:00:00Z"/>
        <d v="2014-10-03T00:00:00Z"/>
        <d v="2014-10-04T00:00:00Z"/>
        <d v="2014-10-05T00:00:00Z"/>
        <d v="2014-10-06T00:00:00Z"/>
        <d v="2014-10-07T00:00:00Z"/>
        <d v="2014-10-08T00:00:00Z"/>
        <d v="2014-10-09T00:00:00Z"/>
        <d v="2014-10-10T00:00:00Z"/>
        <d v="2014-10-11T00:00:00Z"/>
        <d v="2014-10-12T00:00:00Z"/>
        <d v="2014-10-13T00:00:00Z"/>
        <d v="2014-10-14T00:00:00Z"/>
        <d v="2014-10-15T00:00:00Z"/>
        <d v="2014-10-16T00:00:00Z"/>
        <d v="2014-10-17T00:00:00Z"/>
        <d v="2014-10-18T00:00:00Z"/>
        <d v="2014-10-19T00:00:00Z"/>
        <d v="2014-10-20T00:00:00Z"/>
        <d v="2014-10-21T00:00:00Z"/>
        <d v="2014-10-22T00:00:00Z"/>
        <d v="2014-10-23T00:00:00Z"/>
        <d v="2014-10-24T00:00:00Z"/>
        <d v="2014-10-25T00:00:00Z"/>
        <d v="2014-10-26T00:00:00Z"/>
        <d v="2014-10-27T00:00:00Z"/>
        <d v="2014-10-28T00:00:00Z"/>
        <d v="2014-10-29T00:00:00Z"/>
        <d v="2014-10-30T00:00:00Z"/>
        <d v="2014-10-31T00:00:00Z"/>
        <d v="2014-11-01T00:00:00Z"/>
        <d v="2014-11-02T00:00:00Z"/>
        <d v="2014-11-03T00:00:00Z"/>
        <d v="2014-11-04T00:00:00Z"/>
        <d v="2014-11-05T00:00:00Z"/>
        <d v="2014-11-06T00:00:00Z"/>
        <d v="2014-11-07T00:00:00Z"/>
        <d v="2014-11-08T00:00:00Z"/>
        <d v="2014-11-09T00:00:00Z"/>
        <d v="2014-11-10T00:00:00Z"/>
        <d v="2014-11-11T00:00:00Z"/>
        <d v="2014-11-12T00:00:00Z"/>
        <d v="2014-11-13T00:00:00Z"/>
        <d v="2014-11-14T00:00:00Z"/>
        <d v="2014-11-15T00:00:00Z"/>
        <d v="2014-11-16T00:00:00Z"/>
        <d v="2014-11-17T00:00:00Z"/>
        <d v="2014-11-18T00:00:00Z"/>
        <d v="2014-11-19T00:00:00Z"/>
        <d v="2014-11-20T00:00:00Z"/>
        <d v="2014-11-21T00:00:00Z"/>
        <d v="2014-11-22T00:00:00Z"/>
        <d v="2014-11-23T00:00:00Z"/>
        <d v="2014-11-24T00:00:00Z"/>
        <d v="2014-11-25T00:00:00Z"/>
        <d v="2014-11-26T00:00:00Z"/>
        <d v="2014-11-27T00:00:00Z"/>
        <d v="2014-11-28T00:00:00Z"/>
        <d v="2014-11-29T00:00:00Z"/>
        <d v="2014-11-30T00:00:00Z"/>
        <d v="2014-12-01T00:00:00Z"/>
        <d v="2014-12-02T00:00:00Z"/>
        <d v="2014-12-03T00:00:00Z"/>
        <d v="2014-12-04T00:00:00Z"/>
        <d v="2014-12-05T00:00:00Z"/>
        <d v="2014-12-06T00:00:00Z"/>
        <d v="2014-12-07T00:00:00Z"/>
        <d v="2014-12-08T00:00:00Z"/>
        <d v="2014-12-09T00:00:00Z"/>
        <d v="2014-12-10T00:00:00Z"/>
        <d v="2014-12-11T00:00:00Z"/>
        <d v="2014-12-12T00:00:00Z"/>
        <d v="2014-12-13T00:00:00Z"/>
        <d v="2014-12-14T00:00:00Z"/>
        <d v="2014-12-15T00:00:00Z"/>
        <d v="2014-12-16T00:00:00Z"/>
        <d v="2014-12-17T00:00:00Z"/>
        <d v="2014-12-18T00:00:00Z"/>
        <d v="2014-12-19T00:00:00Z"/>
        <d v="2014-12-20T00:00:00Z"/>
        <d v="2014-12-21T00:00:00Z"/>
        <d v="2014-12-22T00:00:00Z"/>
        <d v="2014-12-23T00:00:00Z"/>
        <d v="2014-12-24T00:00:00Z"/>
        <d v="2014-12-25T00:00:00Z"/>
        <d v="2014-12-26T00:00:00Z"/>
        <d v="2014-12-27T00:00:00Z"/>
        <d v="2014-12-28T00:00:00Z"/>
        <d v="2014-12-29T00:00:00Z"/>
        <d v="2014-12-30T00:00:00Z"/>
        <d v="2014-12-31T00:00:00Z"/>
        <d v="2015-01-01T00:00:00Z"/>
        <d v="2015-01-02T00:00:00Z"/>
        <d v="2015-01-03T00:00:00Z"/>
        <d v="2015-01-04T00:00:00Z"/>
        <d v="2015-01-05T00:00:00Z"/>
        <d v="2015-01-06T00:00:00Z"/>
        <d v="2015-01-07T00:00:00Z"/>
        <d v="2015-01-08T00:00:00Z"/>
        <d v="2015-01-09T00:00:00Z"/>
        <d v="2015-01-10T00:00:00Z"/>
        <d v="2015-01-11T00:00:00Z"/>
        <d v="2015-01-12T00:00:00Z"/>
        <d v="2015-01-13T00:00:00Z"/>
        <d v="2015-01-14T00:00:00Z"/>
        <d v="2015-01-15T00:00:00Z"/>
        <d v="2015-01-16T00:00:00Z"/>
        <d v="2015-01-17T00:00:00Z"/>
        <d v="2015-01-18T00:00:00Z"/>
        <d v="2015-01-19T00:00:00Z"/>
        <d v="2015-01-20T00:00:00Z"/>
        <d v="2015-01-21T00:00:00Z"/>
        <d v="2015-01-22T00:00:00Z"/>
        <d v="2015-01-23T00:00:00Z"/>
        <d v="2015-01-24T00:00:00Z"/>
        <d v="2015-01-25T00:00:00Z"/>
        <d v="2015-01-26T00:00:00Z"/>
        <d v="2015-01-27T00:00:00Z"/>
        <d v="2015-01-28T00:00:00Z"/>
        <d v="2015-01-29T00:00:00Z"/>
        <d v="2015-01-30T00:00:00Z"/>
        <d v="2015-01-31T00:00:00Z"/>
        <d v="2015-02-01T00:00:00Z"/>
        <d v="2015-02-02T00:00:00Z"/>
        <d v="2015-02-03T00:00:00Z"/>
        <d v="2015-02-04T00:00:00Z"/>
        <d v="2015-02-05T00:00:00Z"/>
        <d v="2015-02-06T00:00:00Z"/>
        <d v="2015-02-07T00:00:00Z"/>
        <d v="2015-02-08T00:00:00Z"/>
        <d v="2015-02-09T00:00:00Z"/>
        <d v="2015-02-10T00:00:00Z"/>
        <d v="2015-02-11T00:00:00Z"/>
        <d v="2015-02-12T00:00:00Z"/>
        <d v="2015-02-13T00:00:00Z"/>
        <d v="2015-02-14T00:00:00Z"/>
        <d v="2015-02-15T00:00:00Z"/>
        <d v="2015-02-16T00:00:00Z"/>
        <d v="2015-02-17T00:00:00Z"/>
        <d v="2015-02-18T00:00:00Z"/>
        <d v="2015-02-19T00:00:00Z"/>
        <d v="2015-02-20T00:00:00Z"/>
        <d v="2015-02-21T00:00:00Z"/>
        <d v="2015-02-22T00:00:00Z"/>
        <d v="2015-02-23T00:00:00Z"/>
        <d v="2015-02-24T00:00:00Z"/>
        <d v="2015-02-25T00:00:00Z"/>
        <d v="2015-02-26T00:00:00Z"/>
        <d v="2015-02-27T00:00:00Z"/>
        <d v="2015-02-28T00:00:00Z"/>
        <d v="2015-03-01T00:00:00Z"/>
        <d v="2015-03-02T00:00:00Z"/>
        <d v="2015-03-03T00:00:00Z"/>
        <d v="2015-03-04T00:00:00Z"/>
        <d v="2015-03-05T00:00:00Z"/>
        <d v="2015-03-06T00:00:00Z"/>
        <d v="2015-03-07T00:00:00Z"/>
        <d v="2015-03-08T00:00:00Z"/>
        <d v="2015-03-09T00:00:00Z"/>
        <d v="2015-03-10T00:00:00Z"/>
        <d v="2015-03-11T00:00:00Z"/>
        <d v="2015-03-12T00:00:00Z"/>
        <d v="2015-03-13T00:00:00Z"/>
        <d v="2015-03-14T00:00:00Z"/>
        <d v="2015-03-15T00:00:00Z"/>
        <d v="2015-03-16T00:00:00Z"/>
        <d v="2015-03-17T00:00:00Z"/>
        <d v="2015-03-18T00:00:00Z"/>
        <d v="2015-03-19T00:00:00Z"/>
        <d v="2015-03-20T00:00:00Z"/>
        <d v="2015-03-21T00:00:00Z"/>
        <d v="2015-03-22T00:00:00Z"/>
        <d v="2015-03-23T00:00:00Z"/>
        <d v="2015-03-24T00:00:00Z"/>
        <d v="2015-03-25T00:00:00Z"/>
        <d v="2015-03-26T00:00:00Z"/>
        <d v="2015-03-27T00:00:00Z"/>
        <d v="2015-03-28T00:00:00Z"/>
        <d v="2015-03-29T00:00:00Z"/>
        <d v="2015-03-30T00:00:00Z"/>
        <d v="2015-03-31T00:00:00Z"/>
        <d v="2015-04-01T00:00:00Z"/>
        <d v="2015-04-02T00:00:00Z"/>
        <d v="2015-04-03T00:00:00Z"/>
        <d v="2015-04-04T00:00:00Z"/>
        <d v="2015-04-05T00:00:00Z"/>
        <d v="2015-04-06T00:00:00Z"/>
        <d v="2015-04-07T00:00:00Z"/>
        <d v="2015-04-08T00:00:00Z"/>
        <d v="2015-04-09T00:00:00Z"/>
        <d v="2015-04-10T00:00:00Z"/>
        <d v="2015-04-11T00:00:00Z"/>
        <d v="2015-04-12T00:00:00Z"/>
        <d v="2015-04-13T00:00:00Z"/>
        <d v="2015-04-14T00:00:00Z"/>
        <d v="2015-04-15T00:00:00Z"/>
        <d v="2015-04-16T00:00:00Z"/>
        <d v="2015-04-17T00:00:00Z"/>
        <d v="2015-04-18T00:00:00Z"/>
        <d v="2015-04-19T00:00:00Z"/>
        <d v="2015-04-20T00:00:00Z"/>
        <d v="2015-04-21T00:00:00Z"/>
        <d v="2015-04-22T00:00:00Z"/>
        <d v="2015-04-23T00:00:00Z"/>
        <d v="2015-04-24T00:00:00Z"/>
        <d v="2015-04-25T00:00:00Z"/>
        <d v="2015-04-26T00:00:00Z"/>
        <d v="2015-04-27T00:00:00Z"/>
        <d v="2015-04-28T00:00:00Z"/>
        <d v="2015-04-29T00:00:00Z"/>
        <d v="2015-04-30T00:00:00Z"/>
        <d v="2015-05-01T00:00:00Z"/>
        <d v="2015-05-02T00:00:00Z"/>
        <d v="2015-05-03T00:00:00Z"/>
        <d v="2015-05-04T00:00:00Z"/>
        <d v="2015-05-05T00:00:00Z"/>
        <d v="2015-05-06T00:00:00Z"/>
        <d v="2015-05-07T00:00:00Z"/>
        <d v="2015-05-08T00:00:00Z"/>
        <d v="2015-05-09T00:00:00Z"/>
        <d v="2015-05-10T00:00:00Z"/>
        <d v="2015-05-11T00:00:00Z"/>
        <d v="2015-05-12T00:00:00Z"/>
        <d v="2015-05-13T00:00:00Z"/>
        <d v="2015-05-14T00:00:00Z"/>
        <d v="2015-05-15T00:00:00Z"/>
        <d v="2015-05-16T00:00:00Z"/>
        <d v="2015-05-17T00:00:00Z"/>
        <d v="2015-05-18T00:00:00Z"/>
        <d v="2015-05-19T00:00:00Z"/>
        <d v="2015-05-20T00:00:00Z"/>
        <d v="2015-05-21T00:00:00Z"/>
        <d v="2015-05-22T00:00:00Z"/>
        <d v="2015-05-23T00:00:00Z"/>
        <d v="2015-05-24T00:00:00Z"/>
        <d v="2015-05-25T00:00:00Z"/>
        <d v="2015-05-26T00:00:00Z"/>
        <d v="2015-05-27T00:00:00Z"/>
        <d v="2015-05-28T00:00:00Z"/>
        <d v="2015-05-29T00:00:00Z"/>
        <d v="2015-05-30T00:00:00Z"/>
        <d v="2015-05-31T00:00:00Z"/>
        <d v="2015-06-01T00:00:00Z"/>
        <d v="2015-06-02T00:00:00Z"/>
        <d v="2015-06-03T00:00:00Z"/>
        <d v="2015-06-04T00:00:00Z"/>
        <d v="2015-06-05T00:00:00Z"/>
        <d v="2015-06-06T00:00:00Z"/>
        <d v="2015-06-07T00:00:00Z"/>
        <d v="2015-06-08T00:00:00Z"/>
        <d v="2015-06-09T00:00:00Z"/>
        <d v="2015-06-10T00:00:00Z"/>
        <d v="2015-06-11T00:00:00Z"/>
        <d v="2015-06-12T00:00:00Z"/>
        <d v="2015-06-13T00:00:00Z"/>
        <d v="2015-06-14T00:00:00Z"/>
        <d v="2015-06-15T00:00:00Z"/>
        <d v="2015-06-16T00:00:00Z"/>
        <d v="2015-06-17T00:00:00Z"/>
        <d v="2015-06-18T00:00:00Z"/>
        <d v="2015-06-19T00:00:00Z"/>
        <d v="2015-06-20T00:00:00Z"/>
        <d v="2015-06-21T00:00:00Z"/>
        <d v="2015-06-22T00:00:00Z"/>
        <d v="2015-06-23T00:00:00Z"/>
        <d v="2015-06-24T00:00:00Z"/>
        <d v="2015-06-25T00:00:00Z"/>
        <d v="2015-06-26T00:00:00Z"/>
        <d v="2015-06-27T00:00:00Z"/>
        <d v="2015-06-28T00:00:00Z"/>
        <d v="2015-06-29T00:00:00Z"/>
        <d v="2015-06-30T00:00:00Z"/>
        <d v="2015-07-01T00:00:00Z"/>
        <d v="2015-07-02T00:00:00Z"/>
        <d v="2015-07-03T00:00:00Z"/>
        <d v="2015-07-04T00:00:00Z"/>
        <d v="2015-07-05T00:00:00Z"/>
        <d v="2015-07-06T00:00:00Z"/>
        <d v="2015-07-07T00:00:00Z"/>
        <d v="2015-07-08T00:00:00Z"/>
        <d v="2015-07-09T00:00:00Z"/>
        <d v="2015-07-10T00:00:00Z"/>
        <d v="2015-07-11T00:00:00Z"/>
        <d v="2015-07-12T00:00:00Z"/>
        <d v="2015-07-13T00:00:00Z"/>
        <d v="2015-07-14T00:00:00Z"/>
        <d v="2015-07-15T00:00:00Z"/>
        <d v="2015-07-16T00:00:00Z"/>
        <d v="2015-07-17T00:00:00Z"/>
        <d v="2015-07-18T00:00:00Z"/>
        <d v="2015-07-19T00:00:00Z"/>
        <d v="2015-07-20T00:00:00Z"/>
        <d v="2015-07-21T00:00:00Z"/>
        <d v="2015-07-22T00:00:00Z"/>
        <d v="2015-07-23T00:00:00Z"/>
        <d v="2015-07-24T00:00:00Z"/>
        <d v="2015-07-25T00:00:00Z"/>
        <d v="2015-07-26T00:00:00Z"/>
        <d v="2015-07-27T00:00:00Z"/>
        <d v="2015-07-28T00:00:00Z"/>
        <d v="2015-07-29T00:00:00Z"/>
        <d v="2015-07-30T00:00:00Z"/>
        <d v="2015-07-31T00:00:00Z"/>
        <d v="2015-08-01T00:00:00Z"/>
        <d v="2015-08-02T00:00:00Z"/>
        <d v="2015-08-03T00:00:00Z"/>
        <d v="2015-08-04T00:00:00Z"/>
        <d v="2015-08-05T00:00:00Z"/>
        <d v="2015-08-06T00:00:00Z"/>
        <d v="2015-08-07T00:00:00Z"/>
        <d v="2015-08-08T00:00:00Z"/>
        <d v="2015-08-09T00:00:00Z"/>
        <d v="2015-08-10T00:00:00Z"/>
        <d v="2015-08-11T00:00:00Z"/>
        <d v="2015-08-12T00:00:00Z"/>
        <d v="2015-08-13T00:00:00Z"/>
        <d v="2015-08-14T00:00:00Z"/>
        <d v="2015-08-15T00:00:00Z"/>
        <d v="2015-08-16T00:00:00Z"/>
        <d v="2015-08-17T00:00:00Z"/>
        <d v="2015-08-18T00:00:00Z"/>
        <d v="2015-08-19T00:00:00Z"/>
        <d v="2015-08-20T00:00:00Z"/>
        <d v="2015-08-21T00:00:00Z"/>
        <d v="2015-08-22T00:00:00Z"/>
        <d v="2015-08-23T00:00:00Z"/>
        <d v="2015-08-24T00:00:00Z"/>
        <d v="2015-08-25T00:00:00Z"/>
        <d v="2015-08-26T00:00:00Z"/>
        <d v="2015-08-27T00:00:00Z"/>
        <d v="2015-08-28T00:00:00Z"/>
        <d v="2015-08-29T00:00:00Z"/>
        <d v="2015-08-30T00:00:00Z"/>
        <d v="2015-08-31T00:00:00Z"/>
        <d v="2015-09-01T00:00:00Z"/>
        <d v="2015-09-02T00:00:00Z"/>
        <d v="2015-09-03T00:00:00Z"/>
        <d v="2015-09-04T00:00:00Z"/>
        <d v="2015-09-05T00:00:00Z"/>
        <d v="2015-09-06T00:00:00Z"/>
        <d v="2015-09-07T00:00:00Z"/>
        <d v="2015-09-08T00:00:00Z"/>
        <d v="2015-09-09T00:00:00Z"/>
        <d v="2015-09-10T00:00:00Z"/>
        <d v="2015-09-11T00:00:00Z"/>
        <d v="2015-09-12T00:00:00Z"/>
        <d v="2015-09-13T00:00:00Z"/>
        <d v="2015-09-14T00:00:00Z"/>
        <d v="2015-09-15T00:00:00Z"/>
        <d v="2015-09-16T00:00:00Z"/>
        <d v="2015-09-17T00:00:00Z"/>
        <d v="2015-09-18T00:00:00Z"/>
        <d v="2015-09-19T00:00:00Z"/>
        <d v="2015-09-20T00:00:00Z"/>
        <d v="2015-09-21T00:00:00Z"/>
        <d v="2015-09-22T00:00:00Z"/>
        <d v="2015-09-23T00:00:00Z"/>
        <d v="2015-09-24T00:00:00Z"/>
        <d v="2015-09-25T00:00:00Z"/>
        <d v="2015-09-26T00:00:00Z"/>
        <d v="2015-09-27T00:00:00Z"/>
        <d v="2015-09-28T00:00:00Z"/>
        <d v="2015-09-29T00:00:00Z"/>
        <d v="2015-09-30T00:00:00Z"/>
        <d v="2015-10-01T00:00:00Z"/>
        <d v="2015-10-02T00:00:00Z"/>
        <d v="2015-10-03T00:00:00Z"/>
        <d v="2015-10-04T00:00:00Z"/>
        <d v="2015-10-05T00:00:00Z"/>
        <d v="2015-10-06T00:00:00Z"/>
        <d v="2015-10-07T00:00:00Z"/>
        <d v="2015-10-08T00:00:00Z"/>
        <d v="2015-10-09T00:00:00Z"/>
        <d v="2015-10-10T00:00:00Z"/>
        <d v="2015-10-11T00:00:00Z"/>
        <d v="2015-10-12T00:00:00Z"/>
        <d v="2015-10-13T00:00:00Z"/>
        <d v="2015-10-14T00:00:00Z"/>
        <d v="2015-10-15T00:00:00Z"/>
        <d v="2015-10-16T00:00:00Z"/>
        <d v="2015-10-17T00:00:00Z"/>
        <d v="2015-10-18T00:00:00Z"/>
        <d v="2015-10-19T00:00:00Z"/>
        <d v="2015-10-20T00:00:00Z"/>
        <d v="2015-10-21T00:00:00Z"/>
        <d v="2015-10-22T00:00:00Z"/>
        <d v="2015-10-23T00:00:00Z"/>
        <d v="2015-10-24T00:00:00Z"/>
        <d v="2015-10-25T00:00:00Z"/>
        <d v="2015-10-26T00:00:00Z"/>
        <d v="2015-10-27T00:00:00Z"/>
        <d v="2015-10-28T00:00:00Z"/>
        <d v="2015-10-29T00:00:00Z"/>
        <d v="2015-10-30T00:00:00Z"/>
        <d v="2015-10-31T00:00:00Z"/>
        <d v="2015-11-01T00:00:00Z"/>
        <d v="2015-11-02T00:00:00Z"/>
        <d v="2015-11-03T00:00:00Z"/>
        <d v="2015-11-04T00:00:00Z"/>
        <d v="2015-11-05T00:00:00Z"/>
        <d v="2015-11-06T00:00:00Z"/>
        <d v="2015-11-07T00:00:00Z"/>
        <d v="2015-11-08T00:00:00Z"/>
        <d v="2015-11-09T00:00:00Z"/>
        <d v="2015-11-10T00:00:00Z"/>
        <d v="2015-11-11T00:00:00Z"/>
        <d v="2015-11-12T00:00:00Z"/>
        <d v="2015-11-13T00:00:00Z"/>
        <d v="2015-11-14T00:00:00Z"/>
        <d v="2015-11-15T00:00:00Z"/>
        <d v="2015-11-16T00:00:00Z"/>
        <d v="2015-11-17T00:00:00Z"/>
        <d v="2015-11-18T00:00:00Z"/>
        <d v="2015-11-19T00:00:00Z"/>
        <d v="2015-11-20T00:00:00Z"/>
        <d v="2015-11-21T00:00:00Z"/>
        <d v="2015-11-22T00:00:00Z"/>
        <d v="2015-11-23T00:00:00Z"/>
        <d v="2015-11-24T00:00:00Z"/>
        <d v="2015-11-25T00:00:00Z"/>
        <d v="2015-11-26T00:00:00Z"/>
        <d v="2015-11-27T00:00:00Z"/>
        <d v="2015-11-28T00:00:00Z"/>
        <d v="2015-11-29T00:00:00Z"/>
        <d v="2015-11-30T00:00:00Z"/>
        <d v="2015-12-01T00:00:00Z"/>
        <d v="2015-12-02T00:00:00Z"/>
        <d v="2015-12-03T00:00:00Z"/>
        <d v="2015-12-04T00:00:00Z"/>
        <d v="2015-12-05T00:00:00Z"/>
        <d v="2015-12-06T00:00:00Z"/>
        <d v="2015-12-07T00:00:00Z"/>
        <d v="2015-12-08T00:00:00Z"/>
        <d v="2015-12-09T00:00:00Z"/>
        <d v="2015-12-10T00:00:00Z"/>
        <d v="2015-12-11T00:00:00Z"/>
        <d v="2015-12-12T00:00:00Z"/>
        <d v="2015-12-13T00:00:00Z"/>
        <d v="2015-12-14T00:00:00Z"/>
        <d v="2015-12-15T00:00:00Z"/>
        <d v="2015-12-16T00:00:00Z"/>
        <d v="2015-12-17T00:00:00Z"/>
        <d v="2015-12-18T00:00:00Z"/>
        <d v="2015-12-19T00:00:00Z"/>
        <d v="2015-12-20T00:00:00Z"/>
        <d v="2015-12-21T00:00:00Z"/>
        <d v="2015-12-22T00:00:00Z"/>
        <d v="2015-12-23T00:00:00Z"/>
        <d v="2015-12-24T00:00:00Z"/>
        <d v="2015-12-25T00:00:00Z"/>
        <d v="2015-12-26T00:00:00Z"/>
        <d v="2015-12-27T00:00:00Z"/>
        <d v="2015-12-28T00:00:00Z"/>
        <d v="2015-12-29T00:00:00Z"/>
        <d v="2015-12-30T00:00:00Z"/>
        <d v="2015-12-31T00:00:00Z"/>
        <d v="2016-01-01T00:00:00Z"/>
        <d v="2016-01-02T00:00:00Z"/>
        <d v="2016-01-03T00:00:00Z"/>
        <d v="2016-01-04T00:00:00Z"/>
        <d v="2016-01-05T00:00:00Z"/>
        <d v="2016-01-06T00:00:00Z"/>
        <d v="2016-01-07T00:00:00Z"/>
        <d v="2016-01-08T00:00:00Z"/>
        <d v="2016-01-09T00:00:00Z"/>
        <d v="2016-01-10T00:00:00Z"/>
        <d v="2016-01-11T00:00:00Z"/>
        <d v="2016-01-12T00:00:00Z"/>
        <d v="2016-01-13T00:00:00Z"/>
        <d v="2016-01-14T00:00:00Z"/>
        <d v="2016-01-15T00:00:00Z"/>
        <d v="2016-01-16T00:00:00Z"/>
        <d v="2016-01-17T00:00:00Z"/>
        <d v="2016-01-18T00:00:00Z"/>
        <d v="2016-01-19T00:00:00Z"/>
        <d v="2016-01-20T00:00:00Z"/>
        <d v="2016-01-21T00:00:00Z"/>
        <d v="2016-01-22T00:00:00Z"/>
        <d v="2016-01-23T00:00:00Z"/>
        <d v="2016-01-24T00:00:00Z"/>
        <d v="2016-01-25T00:00:00Z"/>
        <d v="2016-01-26T00:00:00Z"/>
        <d v="2016-01-27T00:00:00Z"/>
        <d v="2016-01-28T00:00:00Z"/>
        <d v="2016-01-29T00:00:00Z"/>
        <d v="2016-01-30T00:00:00Z"/>
        <d v="2016-01-31T00:00:00Z"/>
        <d v="2016-02-01T00:00:00Z"/>
        <d v="2016-02-02T00:00:00Z"/>
        <d v="2016-02-03T00:00:00Z"/>
        <d v="2016-02-04T00:00:00Z"/>
        <d v="2016-02-05T00:00:00Z"/>
        <d v="2016-02-06T00:00:00Z"/>
        <d v="2016-02-07T00:00:00Z"/>
        <d v="2016-02-08T00:00:00Z"/>
        <d v="2016-02-09T00:00:00Z"/>
        <d v="2016-02-10T00:00:00Z"/>
        <d v="2016-02-11T00:00:00Z"/>
        <d v="2016-02-12T00:00:00Z"/>
        <d v="2016-02-13T00:00:00Z"/>
        <d v="2016-02-14T00:00:00Z"/>
        <d v="2016-02-15T00:00:00Z"/>
        <d v="2016-02-16T00:00:00Z"/>
        <d v="2016-02-17T00:00:00Z"/>
        <d v="2016-02-18T00:00:00Z"/>
        <d v="2016-02-19T00:00:00Z"/>
        <d v="2016-02-20T00:00:00Z"/>
        <d v="2016-02-21T00:00:00Z"/>
        <d v="2016-02-22T00:00:00Z"/>
        <d v="2016-02-23T00:00:00Z"/>
        <d v="2016-02-24T00:00:00Z"/>
        <d v="2016-02-25T00:00:00Z"/>
        <d v="2016-02-26T00:00:00Z"/>
        <d v="2016-02-27T00:00:00Z"/>
        <d v="2016-02-28T00:00:00Z"/>
        <d v="2016-02-29T00:00:00Z"/>
        <d v="2016-03-01T00:00:00Z"/>
        <d v="2016-03-02T00:00:00Z"/>
        <d v="2016-03-03T00:00:00Z"/>
        <d v="2016-03-04T00:00:00Z"/>
        <d v="2016-03-05T00:00:00Z"/>
        <d v="2016-03-06T00:00:00Z"/>
        <d v="2016-03-07T00:00:00Z"/>
        <d v="2016-03-08T00:00:00Z"/>
        <d v="2016-03-09T00:00:00Z"/>
        <d v="2016-03-10T00:00:00Z"/>
        <d v="2016-03-11T00:00:00Z"/>
        <d v="2016-03-12T00:00:00Z"/>
        <d v="2016-03-13T00:00:00Z"/>
        <d v="2016-03-14T00:00:00Z"/>
        <d v="2016-03-15T00:00:00Z"/>
        <d v="2016-03-16T00:00:00Z"/>
        <d v="2016-03-17T00:00:00Z"/>
        <d v="2016-03-18T00:00:00Z"/>
        <d v="2016-03-19T00:00:00Z"/>
        <d v="2016-03-20T00:00:00Z"/>
        <d v="2016-03-21T00:00:00Z"/>
        <d v="2016-03-22T00:00:00Z"/>
        <d v="2016-03-23T00:00:00Z"/>
        <d v="2016-03-24T00:00:00Z"/>
        <d v="2016-03-25T00:00:00Z"/>
        <d v="2016-03-26T00:00:00Z"/>
        <d v="2016-03-27T00:00:00Z"/>
        <d v="2016-03-28T00:00:00Z"/>
        <d v="2016-03-29T00:00:00Z"/>
        <d v="2016-03-30T00:00:00Z"/>
        <d v="2016-03-31T00:00:00Z"/>
        <d v="2016-04-01T00:00:00Z"/>
        <d v="2016-04-02T00:00:00Z"/>
        <d v="2016-04-03T00:00:00Z"/>
        <d v="2016-04-04T00:00:00Z"/>
        <d v="2016-04-05T00:00:00Z"/>
        <d v="2016-04-06T00:00:00Z"/>
        <d v="2016-04-07T00:00:00Z"/>
        <d v="2016-04-08T00:00:00Z"/>
        <d v="2016-04-09T00:00:00Z"/>
        <d v="2016-04-10T00:00:00Z"/>
        <d v="2016-04-11T00:00:00Z"/>
        <d v="2016-04-12T00:00:00Z"/>
        <d v="2016-04-13T00:00:00Z"/>
        <d v="2016-04-14T00:00:00Z"/>
        <d v="2016-04-15T00:00:00Z"/>
        <d v="2016-04-16T00:00:00Z"/>
        <d v="2016-04-17T00:00:00Z"/>
        <d v="2016-04-18T00:00:00Z"/>
        <d v="2016-04-19T00:00:00Z"/>
        <d v="2016-04-20T00:00:00Z"/>
        <d v="2016-04-21T00:00:00Z"/>
        <d v="2016-04-22T00:00:00Z"/>
        <d v="2016-04-23T00:00:00Z"/>
        <d v="2016-04-24T00:00:00Z"/>
        <d v="2016-04-25T00:00:00Z"/>
        <d v="2016-04-26T00:00:00Z"/>
        <d v="2016-04-27T00:00:00Z"/>
        <d v="2016-04-28T00:00:00Z"/>
        <d v="2016-04-29T00:00:00Z"/>
        <d v="2016-04-30T00:00:00Z"/>
        <d v="2016-05-01T00:00:00Z"/>
        <d v="2016-05-02T00:00:00Z"/>
        <d v="2016-05-03T00:00:00Z"/>
        <d v="2016-05-04T00:00:00Z"/>
        <d v="2016-05-05T00:00:00Z"/>
        <d v="2016-05-06T00:00:00Z"/>
        <d v="2016-05-07T00:00:00Z"/>
        <d v="2016-05-08T00:00:00Z"/>
        <d v="2016-05-09T00:00:00Z"/>
        <d v="2016-05-10T00:00:00Z"/>
        <d v="2016-05-11T00:00:00Z"/>
        <d v="2016-05-12T00:00:00Z"/>
        <d v="2016-05-13T00:00:00Z"/>
        <d v="2016-05-14T00:00:00Z"/>
        <d v="2016-05-15T00:00:00Z"/>
        <d v="2016-05-16T00:00:00Z"/>
        <d v="2016-05-17T00:00:00Z"/>
        <d v="2016-05-18T00:00:00Z"/>
        <d v="2016-05-19T00:00:00Z"/>
        <d v="2016-05-20T00:00:00Z"/>
        <d v="2016-05-21T00:00:00Z"/>
        <d v="2016-05-22T00:00:00Z"/>
        <d v="2016-05-23T00:00:00Z"/>
        <d v="2016-05-24T00:00:00Z"/>
        <d v="2016-05-25T00:00:00Z"/>
        <d v="2016-05-26T00:00:00Z"/>
        <d v="2016-05-27T00:00:00Z"/>
        <d v="2016-05-28T00:00:00Z"/>
        <d v="2016-05-29T00:00:00Z"/>
        <d v="2016-05-30T00:00:00Z"/>
        <d v="2016-05-31T00:00:00Z"/>
        <d v="2016-06-01T00:00:00Z"/>
        <d v="2016-06-02T00:00:00Z"/>
        <d v="2016-06-03T00:00:00Z"/>
        <d v="2016-06-04T00:00:00Z"/>
        <d v="2016-06-05T00:00:00Z"/>
        <d v="2016-06-06T00:00:00Z"/>
        <d v="2016-06-07T00:00:00Z"/>
        <d v="2016-06-08T00:00:00Z"/>
        <d v="2016-06-09T00:00:00Z"/>
        <d v="2016-06-10T00:00:00Z"/>
        <d v="2016-06-11T00:00:00Z"/>
        <d v="2016-06-12T00:00:00Z"/>
        <d v="2016-06-13T00:00:00Z"/>
        <d v="2016-06-14T00:00:00Z"/>
        <d v="2016-06-15T00:00:00Z"/>
        <d v="2016-06-16T00:00:00Z"/>
        <d v="2016-06-17T00:00:00Z"/>
        <d v="2016-06-18T00:00:00Z"/>
        <d v="2016-06-19T00:00:00Z"/>
        <d v="2016-06-20T00:00:00Z"/>
        <d v="2016-06-21T00:00:00Z"/>
        <d v="2016-06-22T00:00:00Z"/>
        <d v="2016-06-23T00:00:00Z"/>
        <d v="2016-06-24T00:00:00Z"/>
        <d v="2016-06-25T00:00:00Z"/>
        <d v="2016-06-26T00:00:00Z"/>
        <d v="2016-06-27T00:00:00Z"/>
        <d v="2016-06-28T00:00:00Z"/>
        <d v="2016-06-29T00:00:00Z"/>
        <d v="2016-06-30T00:00:00Z"/>
        <d v="2016-07-01T00:00:00Z"/>
        <d v="2016-07-02T00:00:00Z"/>
        <d v="2016-07-03T00:00:00Z"/>
        <d v="2016-07-04T00:00:00Z"/>
        <d v="2016-07-05T00:00:00Z"/>
        <d v="2016-07-06T00:00:00Z"/>
        <d v="2016-07-07T00:00:00Z"/>
        <d v="2016-07-08T00:00:00Z"/>
        <d v="2016-07-09T00:00:00Z"/>
        <d v="2016-07-10T00:00:00Z"/>
        <d v="2016-07-11T00:00:00Z"/>
        <d v="2016-07-12T00:00:00Z"/>
        <d v="2016-07-13T00:00:00Z"/>
        <d v="2016-07-14T00:00:00Z"/>
        <d v="2016-07-15T00:00:00Z"/>
        <d v="2016-07-16T00:00:00Z"/>
        <d v="2016-07-17T00:00:00Z"/>
        <d v="2016-07-18T00:00:00Z"/>
        <d v="2016-07-19T00:00:00Z"/>
        <d v="2016-07-20T00:00:00Z"/>
        <d v="2016-07-21T00:00:00Z"/>
        <d v="2016-07-22T00:00:00Z"/>
        <d v="2016-07-23T00:00:00Z"/>
        <d v="2016-07-24T00:00:00Z"/>
        <d v="2016-07-25T00:00:00Z"/>
        <d v="2016-07-26T00:00:00Z"/>
        <d v="2016-07-27T00:00:00Z"/>
        <d v="2016-07-28T00:00:00Z"/>
        <d v="2016-07-29T00:00:00Z"/>
        <d v="2016-07-30T00:00:00Z"/>
        <d v="2016-07-31T00:00:00Z"/>
        <d v="2016-08-01T00:00:00Z"/>
        <d v="2016-08-02T00:00:00Z"/>
        <d v="2016-08-03T00:00:00Z"/>
        <d v="2016-08-04T00:00:00Z"/>
        <d v="2016-08-05T00:00:00Z"/>
        <d v="2016-08-06T00:00:00Z"/>
        <d v="2016-08-07T00:00:00Z"/>
        <d v="2016-08-08T00:00:00Z"/>
        <d v="2016-08-09T00:00:00Z"/>
        <d v="2016-08-10T00:00:00Z"/>
        <d v="2016-08-11T00:00:00Z"/>
        <d v="2016-08-12T00:00:00Z"/>
        <d v="2016-08-13T00:00:00Z"/>
        <d v="2016-08-14T00:00:00Z"/>
        <d v="2016-08-15T00:00:00Z"/>
        <d v="2016-08-16T00:00:00Z"/>
        <d v="2016-08-17T00:00:00Z"/>
        <d v="2016-08-18T00:00:00Z"/>
        <d v="2016-08-19T00:00:00Z"/>
        <d v="2016-08-20T00:00:00Z"/>
        <d v="2016-08-21T00:00:00Z"/>
        <d v="2016-08-22T00:00:00Z"/>
        <d v="2016-08-23T00:00:00Z"/>
        <d v="2016-08-24T00:00:00Z"/>
        <d v="2016-08-25T00:00:00Z"/>
        <d v="2016-08-26T00:00:00Z"/>
        <d v="2016-08-27T00:00:00Z"/>
        <d v="2016-08-28T00:00:00Z"/>
        <d v="2016-08-29T00:00:00Z"/>
        <d v="2016-08-30T00:00:00Z"/>
        <d v="2016-08-31T00:00:00Z"/>
        <d v="2016-09-01T00:00:00Z"/>
        <d v="2016-09-02T00:00:00Z"/>
        <d v="2016-09-03T00:00:00Z"/>
        <d v="2016-09-04T00:00:00Z"/>
        <d v="2016-09-05T00:00:00Z"/>
        <d v="2016-09-06T00:00:00Z"/>
        <d v="2016-09-07T00:00:00Z"/>
        <d v="2016-09-08T00:00:00Z"/>
        <d v="2016-09-09T00:00:00Z"/>
        <d v="2016-09-10T00:00:00Z"/>
        <d v="2016-09-11T00:00:00Z"/>
        <d v="2016-09-12T00:00:00Z"/>
        <d v="2016-09-13T00:00:00Z"/>
        <d v="2016-09-14T00:00:00Z"/>
        <d v="2016-09-15T00:00:00Z"/>
        <d v="2016-09-16T00:00:00Z"/>
        <d v="2016-09-17T00:00:00Z"/>
        <d v="2016-09-18T00:00:00Z"/>
        <d v="2016-09-19T00:00:00Z"/>
        <d v="2016-09-20T00:00:00Z"/>
        <d v="2016-09-21T00:00:00Z"/>
        <d v="2016-09-22T00:00:00Z"/>
        <d v="2016-09-23T00:00:00Z"/>
        <d v="2016-09-24T00:00:00Z"/>
        <d v="2016-09-25T00:00:00Z"/>
        <d v="2016-09-26T00:00:00Z"/>
        <d v="2016-09-27T00:00:00Z"/>
        <d v="2016-09-28T00:00:00Z"/>
        <d v="2016-09-29T00:00:00Z"/>
        <d v="2016-09-30T00:00:00Z"/>
        <d v="2016-10-01T00:00:00Z"/>
        <d v="2016-10-02T00:00:00Z"/>
        <d v="2016-10-03T00:00:00Z"/>
        <d v="2016-10-04T00:00:00Z"/>
        <d v="2016-10-05T00:00:00Z"/>
        <d v="2016-10-06T00:00:00Z"/>
        <d v="2016-10-07T00:00:00Z"/>
        <d v="2016-10-08T00:00:00Z"/>
        <d v="2016-10-09T00:00:00Z"/>
        <d v="2016-10-10T00:00:00Z"/>
        <d v="2016-10-11T00:00:00Z"/>
        <d v="2016-10-12T00:00:00Z"/>
        <d v="2016-10-13T00:00:00Z"/>
        <d v="2016-10-14T00:00:00Z"/>
        <d v="2016-10-15T00:00:00Z"/>
        <d v="2016-10-16T00:00:00Z"/>
        <d v="2016-10-17T00:00:00Z"/>
        <d v="2016-10-18T00:00:00Z"/>
        <d v="2016-10-19T00:00:00Z"/>
        <d v="2016-10-20T00:00:00Z"/>
        <d v="2016-10-21T00:00:00Z"/>
        <d v="2016-10-22T00:00:00Z"/>
        <d v="2016-10-23T00:00:00Z"/>
        <d v="2016-10-24T00:00:00Z"/>
        <d v="2016-10-25T00:00:00Z"/>
        <d v="2016-10-26T00:00:00Z"/>
        <d v="2016-10-27T00:00:00Z"/>
        <d v="2016-10-28T00:00:00Z"/>
        <d v="2016-10-29T00:00:00Z"/>
        <d v="2016-10-30T00:00:00Z"/>
        <d v="2016-10-31T00:00:00Z"/>
        <d v="2016-11-01T00:00:00Z"/>
        <d v="2016-11-02T00:00:00Z"/>
        <d v="2016-11-03T00:00:00Z"/>
        <d v="2016-11-04T00:00:00Z"/>
        <d v="2016-11-05T00:00:00Z"/>
        <d v="2016-11-06T00:00:00Z"/>
        <d v="2016-11-07T00:00:00Z"/>
        <d v="2016-11-08T00:00:00Z"/>
        <d v="2016-11-09T00:00:00Z"/>
        <d v="2016-11-10T00:00:00Z"/>
        <d v="2016-11-11T00:00:00Z"/>
        <d v="2016-11-12T00:00:00Z"/>
        <d v="2016-11-13T00:00:00Z"/>
        <d v="2016-11-14T00:00:00Z"/>
        <d v="2016-11-15T00:00:00Z"/>
        <d v="2016-11-16T00:00:00Z"/>
      </sharedItems>
      <fieldGroup par="20"/>
    </cacheField>
    <cacheField name="Transaction Year" numFmtId="0">
      <sharedItems containsSemiMixedTypes="0" containsString="0" containsNumber="1" containsInteger="1">
        <n v="2013.0"/>
        <n v="2014.0"/>
        <n v="2015.0"/>
        <n v="2016.0"/>
      </sharedItems>
    </cacheField>
    <cacheField name="Transaction Month" numFmtId="0">
      <sharedItems>
        <s v="December"/>
        <s v="January"/>
        <s v="February"/>
        <s v="March"/>
        <s v="April"/>
        <s v="May"/>
        <s v="June"/>
        <s v="July"/>
        <s v="August"/>
        <s v="September"/>
        <s v="October"/>
        <s v="November"/>
      </sharedItems>
    </cacheField>
    <cacheField name="Transaction Day" numFmtId="0">
      <sharedItems>
        <s v="30"/>
        <s v="31"/>
        <s v="01"/>
        <s v="02"/>
        <s v="03"/>
        <s v="04"/>
        <s v="05"/>
        <s v="06"/>
        <s v="07"/>
        <s v="08"/>
        <s v="09"/>
        <s v="10"/>
        <s v="11"/>
        <s v="12"/>
        <s v="13"/>
        <s v="14"/>
        <s v="15"/>
        <s v="16"/>
        <s v="17"/>
        <s v="18"/>
        <s v="19"/>
        <s v="20"/>
        <s v="21"/>
        <s v="22"/>
        <s v="23"/>
        <s v="24"/>
        <s v="25"/>
        <s v="26"/>
        <s v="27"/>
        <s v="28"/>
        <s v="29"/>
      </sharedItems>
    </cacheField>
    <cacheField name="Transaction Dayname" numFmtId="0">
      <sharedItems>
        <s v="Mon"/>
        <s v="Tue"/>
        <s v="Wed"/>
        <s v="Thu"/>
        <s v="Fri"/>
        <s v="Sat"/>
        <s v="Sun"/>
      </sharedItems>
    </cacheField>
    <cacheField name="Quantity Sold" numFmtId="0">
      <sharedItems containsSemiMixedTypes="0" containsString="0" containsNumber="1" containsInteger="1">
        <n v="6827.0"/>
        <n v="9268.0"/>
        <n v="2678.0"/>
        <n v="6175.0"/>
        <n v="10084.0"/>
        <n v="9470.0"/>
        <n v="5524.0"/>
        <n v="9448.0"/>
        <n v="6911.0"/>
        <n v="2990.0"/>
        <n v="3159.0"/>
        <n v="4246.0"/>
        <n v="4297.0"/>
        <n v="2796.0"/>
        <n v="3369.0"/>
        <n v="2348.0"/>
        <n v="2903.0"/>
        <n v="2491.0"/>
        <n v="3968.0"/>
        <n v="4393.0"/>
        <n v="2176.0"/>
        <n v="2443.0"/>
        <n v="2638.0"/>
        <n v="1704.0"/>
        <n v="1872.0"/>
        <n v="3423.0"/>
        <n v="4544.0"/>
        <n v="2426.0"/>
        <n v="2117.0"/>
        <n v="1476.0"/>
        <n v="1974.0"/>
        <n v="1892.0"/>
        <n v="4030.0"/>
        <n v="5304.0"/>
        <n v="3320.0"/>
        <n v="4191.0"/>
        <n v="3809.0"/>
        <n v="5764.0"/>
        <n v="3028.0"/>
        <n v="9284.0"/>
        <n v="9737.0"/>
        <n v="4163.0"/>
        <n v="4552.0"/>
        <n v="4172.0"/>
        <n v="5037.0"/>
        <n v="4259.0"/>
        <n v="10381.0"/>
        <n v="11332.0"/>
        <n v="4127.0"/>
        <n v="4649.0"/>
        <n v="1627.0"/>
        <n v="3281.0"/>
        <n v="2310.0"/>
        <n v="9802.0"/>
        <n v="9772.0"/>
        <n v="4270.0"/>
        <n v="4106.0"/>
        <n v="6937.0"/>
        <n v="6934.0"/>
        <n v="11082.0"/>
        <n v="20805.0"/>
        <n v="26410.0"/>
        <n v="15004.0"/>
        <n v="16884.0"/>
        <n v="9789.0"/>
        <n v="8079.0"/>
        <n v="5072.0"/>
        <n v="14551.0"/>
        <n v="16262.0"/>
        <n v="7014.0"/>
        <n v="8932.0"/>
        <n v="5737.0"/>
        <n v="5903.0"/>
        <n v="5056.0"/>
        <n v="12167.0"/>
        <n v="15971.0"/>
        <n v="6968.0"/>
        <n v="7494.0"/>
        <n v="2707.0"/>
        <n v="2637.0"/>
        <n v="5149.0"/>
        <n v="5735.0"/>
        <n v="4936.0"/>
        <n v="2003.0"/>
        <n v="2323.0"/>
        <n v="3822.0"/>
        <n v="3666.0"/>
        <n v="3543.0"/>
        <n v="8130.0"/>
        <n v="10518.0"/>
        <n v="4791.0"/>
        <n v="5583.0"/>
        <n v="7155.0"/>
        <n v="4575.0"/>
        <n v="3997.0"/>
        <n v="5558.0"/>
        <n v="6320.0"/>
        <n v="3447.0"/>
        <n v="3854.0"/>
        <n v="3394.0"/>
        <n v="3563.0"/>
        <n v="5380.0"/>
        <n v="9573.0"/>
        <n v="11250.0"/>
        <n v="4990.0"/>
        <n v="5810.0"/>
        <n v="7497.0"/>
        <n v="8821.0"/>
        <n v="18366.0"/>
        <n v="13940.0"/>
        <n v="10814.0"/>
        <n v="3429.0"/>
        <n v="4834.0"/>
        <n v="5475.0"/>
        <n v="3121.0"/>
        <n v="2809.0"/>
        <n v="8537.0"/>
        <n v="8209.0"/>
        <n v="3592.0"/>
        <n v="3576.0"/>
        <n v="3807.0"/>
        <n v="4398.0"/>
        <n v="5124.0"/>
        <n v="4581.0"/>
        <n v="3697.0"/>
        <n v="2642.0"/>
        <n v="3154.0"/>
        <n v="3324.0"/>
        <n v="2677.0"/>
        <n v="2683.0"/>
        <n v="9328.0"/>
        <n v="13306.0"/>
        <n v="6173.0"/>
        <n v="5653.0"/>
        <n v="4503.0"/>
        <n v="6253.0"/>
        <n v="8408.0"/>
        <n v="12949.0"/>
        <n v="15508.0"/>
        <n v="5141.0"/>
        <n v="5194.0"/>
        <n v="5550.0"/>
        <n v="6070.0"/>
        <n v="3421.0"/>
        <n v="13384.0"/>
        <n v="18356.0"/>
        <n v="6500.0"/>
        <n v="6752.0"/>
        <n v="7023.0"/>
        <n v="7579.0"/>
        <n v="6448.0"/>
        <n v="15637.0"/>
        <n v="18775.0"/>
        <n v="14188.0"/>
        <n v="13256.0"/>
        <n v="10223.0"/>
        <n v="8904.0"/>
        <n v="5783.0"/>
        <n v="9005.0"/>
        <n v="12222.0"/>
        <n v="6037.0"/>
        <n v="6607.0"/>
        <n v="5857.0"/>
        <n v="5429.0"/>
        <n v="6232.0"/>
        <n v="14585.0"/>
        <n v="14745.0"/>
        <n v="6991.0"/>
        <n v="5788.0"/>
        <n v="6632.0"/>
        <n v="5752.0"/>
        <n v="3578.0"/>
        <n v="6119.0"/>
        <n v="6161.0"/>
        <n v="4015.0"/>
        <n v="4133.0"/>
        <n v="1047.0"/>
        <n v="1601.0"/>
        <n v="1592.0"/>
        <n v="3759.0"/>
        <n v="1772.0"/>
        <n v="2672.0"/>
        <n v="5143.0"/>
        <n v="2667.0"/>
        <n v="2799.0"/>
        <n v="3355.0"/>
        <n v="2002.0"/>
        <n v="1967.0"/>
        <n v="3094.0"/>
        <n v="2335.0"/>
        <n v="2968.0"/>
        <n v="3825.0"/>
        <n v="2833.0"/>
        <n v="1419.0"/>
        <n v="2151.0"/>
        <n v="3148.0"/>
        <n v="4825.0"/>
        <n v="2307.0"/>
        <n v="3557.0"/>
        <n v="7485.0"/>
        <n v="2428.0"/>
        <n v="2475.0"/>
        <n v="1618.0"/>
        <n v="5106.0"/>
        <n v="2729.0"/>
        <n v="15897.0"/>
        <n v="17343.0"/>
        <n v="8207.0"/>
        <n v="9018.0"/>
        <n v="6548.0"/>
        <n v="6102.0"/>
        <n v="9108.0"/>
        <n v="18867.0"/>
        <n v="19384.0"/>
        <n v="9473.0"/>
        <n v="11170.0"/>
        <n v="8091.0"/>
        <n v="2303.0"/>
        <n v="2947.0"/>
        <n v="13542.0"/>
        <n v="12588.0"/>
        <n v="6032.0"/>
        <n v="7158.0"/>
        <n v="5863.0"/>
        <n v="6092.0"/>
        <n v="5485.0"/>
        <n v="14587.0"/>
        <n v="16686.0"/>
        <n v="7380.0"/>
        <n v="7864.0"/>
        <n v="4941.0"/>
        <n v="5151.0"/>
        <n v="4928.0"/>
        <n v="11309.0"/>
        <n v="13613.0"/>
        <n v="6424.0"/>
        <n v="9493.0"/>
        <n v="7619.0"/>
        <n v="8909.0"/>
        <n v="8400.0"/>
        <n v="19317.0"/>
        <n v="23310.0"/>
        <n v="11646.0"/>
        <n v="19366.0"/>
        <n v="15291.0"/>
        <n v="15100.0"/>
        <n v="10164.0"/>
        <n v="16310.0"/>
        <n v="17985.0"/>
        <n v="7620.0"/>
        <n v="7958.0"/>
        <n v="3503.0"/>
        <n v="2247.0"/>
        <n v="2023.0"/>
        <n v="4242.0"/>
        <n v="4901.0"/>
        <n v="2467.0"/>
        <n v="3432.0"/>
        <n v="2375.0"/>
        <n v="2105.0"/>
        <n v="1982.0"/>
        <n v="3915.0"/>
        <n v="4383.0"/>
        <n v="2159.0"/>
        <n v="2592.0"/>
        <n v="3143.0"/>
        <n v="6457.0"/>
        <n v="11039.0"/>
        <n v="18036.0"/>
        <n v="19017.0"/>
        <n v="8747.0"/>
        <n v="8147.0"/>
        <n v="11036.0"/>
        <n v="18330.0"/>
        <n v="14503.0"/>
        <n v="15986.0"/>
        <n v="20223.0"/>
        <n v="8631.0"/>
        <n v="11579.0"/>
        <n v="2127.0"/>
        <n v="1923.0"/>
        <n v="4891.0"/>
        <n v="3758.0"/>
        <n v="1661.0"/>
        <n v="2360.0"/>
        <n v="1894.0"/>
        <n v="3548.0"/>
        <n v="2591.0"/>
        <n v="3293.0"/>
        <n v="4611.0"/>
        <n v="2468.0"/>
        <n v="2773.0"/>
        <n v="2815.0"/>
        <n v="2701.0"/>
        <n v="2651.0"/>
        <n v="6781.0"/>
        <n v="8249.0"/>
        <n v="3502.0"/>
        <n v="3949.0"/>
        <n v="2435.0"/>
        <n v="2232.0"/>
        <n v="1898.0"/>
        <n v="4537.0"/>
        <n v="6730.0"/>
        <n v="4038.0"/>
        <n v="5581.0"/>
        <n v="2519.0"/>
        <n v="1847.0"/>
        <n v="2309.0"/>
        <n v="3722.0"/>
        <n v="4268.0"/>
        <n v="1968.0"/>
        <n v="2016.0"/>
        <n v="1497.0"/>
        <n v="1314.0"/>
        <n v="1466.0"/>
        <n v="3984.0"/>
        <n v="4802.0"/>
        <n v="2017.0"/>
        <n v="2297.0"/>
        <n v="1665.0"/>
        <n v="1291.0"/>
        <n v="1361.0"/>
        <n v="1281.0"/>
        <n v="1122.0"/>
        <n v="737.0"/>
        <n v="641.0"/>
        <n v="968.0"/>
        <n v="709.0"/>
        <n v="880.0"/>
        <n v="1096.0"/>
        <n v="2068.0"/>
        <n v="2492.0"/>
        <n v="2170.0"/>
        <n v="1784.0"/>
        <n v="1368.0"/>
        <n v="1914.0"/>
        <n v="3765.0"/>
        <n v="2712.0"/>
        <n v="2222.0"/>
        <n v="1861.0"/>
        <n v="4095.0"/>
        <n v="4157.0"/>
        <n v="7259.0"/>
        <n v="9654.0"/>
        <n v="4632.0"/>
        <n v="7341.0"/>
        <n v="4308.0"/>
        <n v="3865.0"/>
        <n v="5288.0"/>
        <n v="7141.0"/>
        <n v="8268.0"/>
        <n v="4541.0"/>
        <n v="5014.0"/>
        <n v="7778.0"/>
        <n v="11809.0"/>
        <n v="3344.0"/>
        <n v="1169.0"/>
        <n v="2676.0"/>
        <n v="1677.0"/>
        <n v="3237.0"/>
        <n v="5607.0"/>
        <n v="9464.0"/>
        <n v="2905.0"/>
        <n v="6371.0"/>
        <n v="4624.0"/>
        <n v="5717.0"/>
        <n v="4705.0"/>
        <n v="2020.0"/>
        <n v="1868.0"/>
        <n v="3008.0"/>
        <n v="2934.0"/>
        <n v="1690.0"/>
        <n v="2058.0"/>
        <n v="1570.0"/>
        <n v="1446.0"/>
        <n v="1921.0"/>
        <n v="3629.0"/>
        <n v="4144.0"/>
        <n v="1815.0"/>
        <n v="2189.0"/>
        <n v="2376.0"/>
        <n v="1525.0"/>
        <n v="1616.0"/>
        <n v="3757.0"/>
        <n v="3855.0"/>
        <n v="1897.0"/>
        <n v="2230.0"/>
        <n v="1870.0"/>
        <n v="1455.0"/>
        <n v="1392.0"/>
        <n v="3268.0"/>
        <n v="4862.0"/>
        <n v="4165.0"/>
        <n v="3685.0"/>
        <n v="2479.0"/>
        <n v="2005.0"/>
        <n v="2082.0"/>
        <n v="2573.0"/>
        <n v="1774.0"/>
        <n v="2378.0"/>
        <n v="3677.0"/>
        <n v="4299.0"/>
        <n v="3674.0"/>
        <n v="9505.0"/>
        <n v="11237.0"/>
        <n v="5406.0"/>
        <n v="5846.0"/>
        <n v="3713.0"/>
        <n v="3827.0"/>
        <n v="7770.0"/>
        <n v="7102.0"/>
        <n v="3608.0"/>
        <n v="2150.0"/>
        <n v="2530.0"/>
        <n v="5253.0"/>
        <n v="4171.0"/>
        <n v="8156.0"/>
        <n v="9296.0"/>
        <n v="6803.0"/>
        <n v="6221.0"/>
        <n v="6611.0"/>
        <n v="6843.0"/>
        <n v="3858.0"/>
        <n v="7128.0"/>
        <n v="8127.0"/>
        <n v="2966.0"/>
        <n v="2858.0"/>
        <n v="1518.0"/>
        <n v="1386.0"/>
        <n v="1166.0"/>
        <n v="2853.0"/>
        <n v="3657.0"/>
        <n v="1631.0"/>
        <n v="1959.0"/>
        <n v="1230.0"/>
        <n v="1182.0"/>
        <n v="1050.0"/>
        <n v="2353.0"/>
        <n v="1626.0"/>
        <n v="1976.0"/>
        <n v="3312.0"/>
        <n v="6704.0"/>
        <n v="6077.0"/>
        <n v="9386.0"/>
        <n v="12181.0"/>
        <n v="5937.0"/>
        <n v="5706.0"/>
        <n v="9421.0"/>
        <n v="13207.0"/>
        <n v="18936.0"/>
        <n v="13503.0"/>
        <n v="10600.0"/>
        <n v="3591.0"/>
        <n v="4836.0"/>
        <n v="4348.0"/>
        <n v="2451.0"/>
        <n v="1814.0"/>
        <n v="2770.0"/>
        <n v="3072.0"/>
        <n v="1934.0"/>
        <n v="2019.0"/>
        <n v="979.0"/>
        <n v="1398.0"/>
        <n v="1198.0"/>
        <n v="2485.0"/>
        <n v="3172.0"/>
        <n v="1365.0"/>
        <n v="1353.0"/>
        <n v="3439.0"/>
        <n v="1434.0"/>
        <n v="8892.0"/>
        <n v="13144.0"/>
        <n v="5179.0"/>
        <n v="5150.0"/>
        <n v="9986.0"/>
        <n v="12937.0"/>
        <n v="12217.0"/>
        <n v="6721.0"/>
        <n v="8283.0"/>
        <n v="6191.0"/>
        <n v="5959.0"/>
        <n v="2848.0"/>
        <n v="8748.0"/>
        <n v="10329.0"/>
        <n v="4410.0"/>
        <n v="5257.0"/>
        <n v="5118.0"/>
        <n v="3952.0"/>
        <n v="10964.0"/>
        <n v="4695.0"/>
        <n v="5205.0"/>
        <n v="3638.0"/>
        <n v="4394.0"/>
        <n v="2012.0"/>
        <n v="8526.0"/>
        <n v="11096.0"/>
        <n v="4489.0"/>
        <n v="6795.0"/>
        <n v="5283.0"/>
        <n v="6453.0"/>
        <n v="5770.0"/>
        <n v="12507.0"/>
        <n v="14475.0"/>
        <n v="7009.0"/>
        <n v="11688.0"/>
        <n v="8863.0"/>
        <n v="7148.0"/>
        <n v="5326.0"/>
        <n v="7775.0"/>
        <n v="9255.0"/>
        <n v="4758.0"/>
        <n v="2613.0"/>
        <n v="1830.0"/>
        <n v="1694.0"/>
        <n v="1642.0"/>
        <n v="3690.0"/>
        <n v="4404.0"/>
        <n v="1992.0"/>
        <n v="2395.0"/>
        <n v="2120.0"/>
        <n v="1875.0"/>
        <n v="3376.0"/>
        <n v="4027.0"/>
        <n v="2128.0"/>
        <n v="2046.0"/>
        <n v="1546.0"/>
        <n v="2822.0"/>
        <n v="4865.0"/>
        <n v="8450.0"/>
        <n v="9770.0"/>
        <n v="4914.0"/>
        <n v="4385.0"/>
        <n v="5627.0"/>
        <n v="8086.0"/>
        <n v="6639.0"/>
        <n v="7104.0"/>
        <n v="8364.0"/>
        <n v="4146.0"/>
        <n v="4601.0"/>
        <n v="3593.0"/>
        <n v="2114.0"/>
        <n v="1797.0"/>
        <n v="3195.0"/>
        <n v="3595.0"/>
        <n v="1467.0"/>
        <n v="1610.0"/>
        <n v="1307.0"/>
        <n v="2050.0"/>
        <n v="1849.0"/>
        <n v="3070.0"/>
        <n v="3322.0"/>
        <n v="1787.0"/>
        <n v="1846.0"/>
        <n v="1142.0"/>
        <n v="1734.0"/>
        <n v="3259.0"/>
        <n v="3572.0"/>
        <n v="2109.0"/>
        <n v="2242.0"/>
        <n v="1474.0"/>
        <n v="1381.0"/>
        <n v="1423.0"/>
        <n v="3740.0"/>
        <n v="4453.0"/>
        <n v="2258.0"/>
        <n v="2074.0"/>
        <n v="2007.0"/>
        <n v="1948.0"/>
        <n v="1922.0"/>
        <n v="3088.0"/>
        <n v="3388.0"/>
        <n v="1944.0"/>
        <n v="1812.0"/>
        <n v="1563.0"/>
        <n v="1171.0"/>
        <n v="1035.0"/>
        <n v="3068.0"/>
        <n v="1866.0"/>
        <n v="922.0"/>
        <n v="604.0"/>
        <n v="643.0"/>
        <n v="2006.0"/>
        <n v="1528.0"/>
        <n v="6360.0"/>
        <n v="8035.0"/>
        <n v="6675.0"/>
        <n v="11330.0"/>
        <n v="13484.0"/>
        <n v="5913.0"/>
        <n v="9721.0"/>
        <n v="11257.0"/>
        <n v="10102.0"/>
        <n v="7938.0"/>
        <n v="9936.0"/>
        <n v="10643.0"/>
        <n v="4800.0"/>
        <n v="5228.0"/>
        <n v="1810.0"/>
        <n v="1961.0"/>
        <n v="1232.0"/>
        <n v="2194.0"/>
        <n v="1469.0"/>
        <n v="829.0"/>
        <n v="1329.0"/>
        <n v="1300.0"/>
        <n v="773.0"/>
        <n v="760.0"/>
        <n v="1755.0"/>
        <n v="1766.0"/>
        <n v="1078.0"/>
        <n v="1124.0"/>
        <n v="3725.0"/>
        <n v="4492.0"/>
        <n v="11030.0"/>
        <n v="10528.0"/>
        <n v="4895.0"/>
        <n v="5720.0"/>
        <n v="4288.0"/>
        <n v="9693.0"/>
        <n v="12065.0"/>
        <n v="11758.0"/>
        <n v="13508.0"/>
        <n v="6085.0"/>
        <n v="8828.0"/>
        <n v="6636.0"/>
        <n v="1622.0"/>
        <n v="1512.0"/>
        <n v="3211.0"/>
        <n v="3037.0"/>
        <n v="1456.0"/>
        <n v="1465.0"/>
        <n v="1018.0"/>
        <n v="1070.0"/>
        <n v="1357.0"/>
        <n v="2810.0"/>
        <n v="2829.0"/>
        <n v="1517.0"/>
        <n v="1399.0"/>
        <n v="1067.0"/>
        <n v="5042.0"/>
        <n v="6872.0"/>
        <n v="3218.0"/>
        <n v="3347.0"/>
        <n v="3177.0"/>
        <n v="4532.0"/>
        <n v="3231.0"/>
        <n v="7731.0"/>
        <n v="11148.0"/>
        <n v="7459.0"/>
        <n v="7316.0"/>
        <n v="5211.0"/>
        <n v="5731.0"/>
        <n v="3036.0"/>
        <n v="5822.0"/>
        <n v="7987.0"/>
        <n v="3640.0"/>
        <n v="2338.0"/>
        <n v="3744.0"/>
        <n v="4216.0"/>
        <n v="4000.0"/>
        <n v="10204.0"/>
        <n v="10769.0"/>
        <n v="4803.0"/>
        <n v="4342.0"/>
        <n v="4202.0"/>
        <n v="4151.0"/>
        <n v="8567.0"/>
        <n v="8811.0"/>
        <n v="4345.0"/>
        <n v="1937.0"/>
        <n v="3160.0"/>
        <n v="6924.0"/>
        <n v="9273.0"/>
        <n v="13019.0"/>
        <n v="7139.0"/>
        <n v="7423.0"/>
        <n v="7474.0"/>
        <n v="7056.0"/>
        <n v="5732.0"/>
        <n v="9038.0"/>
        <n v="10737.0"/>
        <n v="5505.0"/>
        <n v="2198.0"/>
        <n v="3190.0"/>
        <n v="3814.0"/>
        <n v="3610.0"/>
        <n v="6227.0"/>
        <n v="9422.0"/>
        <n v="4715.0"/>
        <n v="6212.0"/>
        <n v="6585.0"/>
        <n v="6051.0"/>
        <n v="7750.0"/>
        <n v="9490.0"/>
        <n v="4382.0"/>
        <n v="8196.0"/>
        <n v="6534.0"/>
        <n v="9540.0"/>
        <n v="3256.0"/>
        <n v="2013.0"/>
        <n v="1692.0"/>
        <n v="3234.0"/>
        <n v="4592.0"/>
        <n v="5945.0"/>
        <n v="9266.0"/>
        <n v="3179.0"/>
        <n v="7479.0"/>
        <n v="4694.0"/>
        <n v="7843.0"/>
        <n v="6150.0"/>
        <n v="2401.0"/>
        <n v="1808.0"/>
        <n v="2594.0"/>
        <n v="3274.0"/>
        <n v="2207.0"/>
        <n v="2949.0"/>
        <n v="2417.0"/>
        <n v="1644.0"/>
        <n v="1499.0"/>
        <n v="3648.0"/>
        <n v="4652.0"/>
        <n v="2252.0"/>
        <n v="2357.0"/>
        <n v="1715.0"/>
        <n v="4776.0"/>
        <n v="1628.0"/>
        <n v="7806.0"/>
        <n v="9210.0"/>
        <n v="4351.0"/>
        <n v="6278.0"/>
        <n v="5992.0"/>
        <n v="6265.0"/>
        <n v="5723.0"/>
        <n v="11900.0"/>
        <n v="15345.0"/>
        <n v="6525.0"/>
        <n v="10153.0"/>
        <n v="8116.0"/>
        <n v="7712.0"/>
        <n v="5759.0"/>
        <n v="9501.0"/>
        <n v="10840.0"/>
        <n v="5089.0"/>
        <n v="6087.0"/>
        <n v="2053.0"/>
        <n v="1825.0"/>
        <n v="3542.0"/>
        <n v="4105.0"/>
        <n v="2094.0"/>
        <n v="2940.0"/>
        <n v="1841.0"/>
        <n v="4529.0"/>
        <n v="1658.0"/>
        <n v="3841.0"/>
        <n v="9260.0"/>
        <n v="2308.0"/>
        <n v="2028.0"/>
        <n v="1301.0"/>
        <n v="2213.0"/>
        <n v="4935.0"/>
        <n v="5609.0"/>
        <n v="3452.0"/>
        <n v="4719.0"/>
        <n v="4451.0"/>
        <n v="3364.0"/>
        <n v="3665.0"/>
        <n v="3889.0"/>
        <n v="1882.0"/>
        <n v="2405.0"/>
        <n v="1577.0"/>
        <n v="913.0"/>
        <n v="892.0"/>
        <n v="1855.0"/>
        <n v="883.0"/>
        <n v="1071.0"/>
        <n v="1320.0"/>
        <n v="997.0"/>
        <n v="817.0"/>
        <n v="2211.0"/>
        <n v="1304.0"/>
        <n v="1143.0"/>
        <n v="1573.0"/>
        <n v="2065.0"/>
        <n v="6588.0"/>
        <n v="5652.0"/>
        <n v="4103.0"/>
        <n v="2162.0"/>
        <n v="2155.0"/>
        <n v="1746.0"/>
        <n v="3554.0"/>
        <n v="6282.0"/>
        <n v="5259.0"/>
        <n v="2446.0"/>
        <n v="3345.0"/>
        <n v="2048.0"/>
        <n v="1303.0"/>
        <n v="4413.0"/>
        <n v="7738.0"/>
        <n v="2958.0"/>
        <n v="3504.0"/>
        <n v="3534.0"/>
        <n v="10045.0"/>
        <n v="9301.0"/>
        <n v="4678.0"/>
        <n v="4294.0"/>
        <n v="3606.0"/>
        <n v="4838.0"/>
        <n v="10269.0"/>
        <n v="12317.0"/>
        <n v="5453.0"/>
        <n v="7372.0"/>
        <n v="8211.0"/>
        <n v="9182.0"/>
        <n v="7520.0"/>
        <n v="13321.0"/>
        <n v="16276.0"/>
        <n v="10388.0"/>
        <n v="8298.0"/>
        <n v="8717.0"/>
        <n v="9973.0"/>
        <n v="11363.0"/>
        <n v="4074.0"/>
        <n v="1579.0"/>
        <n v="1016.0"/>
        <n v="832.0"/>
        <n v="647.0"/>
        <n v="1224.0"/>
        <n v="1019.0"/>
        <n v="930.0"/>
        <n v="818.0"/>
        <n v="937.0"/>
        <n v="2302.0"/>
        <n v="2363.0"/>
        <n v="3224.0"/>
        <n v="7392.0"/>
        <n v="6138.0"/>
        <n v="10624.0"/>
        <n v="11590.0"/>
        <n v="5048.0"/>
        <n v="7542.0"/>
        <n v="10761.0"/>
        <n v="8120.0"/>
        <n v="10896.0"/>
        <n v="11726.0"/>
        <n v="6007.0"/>
        <n v="5185.0"/>
        <n v="1675.0"/>
        <n v="4765.0"/>
        <n v="3953.0"/>
        <n v="7190.0"/>
        <n v="8577.0"/>
        <n v="3943.0"/>
        <n v="3707.0"/>
        <n v="3054.0"/>
        <n v="6541.0"/>
        <n v="5749.0"/>
        <n v="9385.0"/>
        <n v="9012.0"/>
        <n v="3831.0"/>
        <n v="4097.0"/>
        <n v="3509.0"/>
        <n v="953.0"/>
        <n v="4305.0"/>
        <n v="11667.0"/>
        <n v="13793.0"/>
        <n v="6641.0"/>
        <n v="7593.0"/>
        <n v="6345.0"/>
        <n v="8482.0"/>
        <n v="14344.0"/>
        <n v="13609.0"/>
        <n v="8431.0"/>
        <n v="6577.0"/>
        <n v="6098.0"/>
        <n v="1654.0"/>
        <n v="2073.0"/>
        <n v="1871.0"/>
        <n v="946.0"/>
        <n v="1090.0"/>
        <n v="876.0"/>
        <n v="790.0"/>
        <n v="723.0"/>
        <n v="1910.0"/>
        <n v="2266.0"/>
        <n v="1227.0"/>
        <n v="900.0"/>
        <n v="836.0"/>
        <n v="1454.0"/>
        <n v="1835.0"/>
        <n v="972.0"/>
        <n v="1024.0"/>
        <n v="1044.0"/>
        <n v="1611.0"/>
        <n v="1234.0"/>
        <n v="2223.0"/>
        <n v="2267.0"/>
        <n v="1415.0"/>
        <n v="1548.0"/>
        <n v="1679.0"/>
        <n v="1152.0"/>
        <n v="1101.0"/>
        <n v="1700.0"/>
        <n v="715.0"/>
        <n v="897.0"/>
        <n v="733.0"/>
        <n v="4282.0"/>
        <n v="2867.0"/>
        <n v="6082.0"/>
        <n v="7771.0"/>
        <n v="3302.0"/>
        <n v="3536.0"/>
        <n v="3236.0"/>
        <n v="6646.0"/>
        <n v="7220.0"/>
        <n v="3958.0"/>
        <n v="3672.0"/>
        <n v="3549.0"/>
        <n v="6647.0"/>
        <n v="9908.0"/>
        <n v="10393.0"/>
        <n v="4507.0"/>
        <n v="4672.0"/>
        <n v="3924.0"/>
        <n v="6918.0"/>
        <n v="9183.0"/>
        <n v="10830.0"/>
        <n v="10800.0"/>
        <n v="6685.0"/>
        <n v="4519.0"/>
        <n v="1206.0"/>
        <n v="1029.0"/>
        <n v="1917.0"/>
        <n v="2108.0"/>
        <n v="1211.0"/>
        <n v="755.0"/>
        <n v="508.0"/>
        <n v="1010.0"/>
        <n v="1733.0"/>
        <n v="2482.0"/>
        <n v="1235.0"/>
        <n v="1155.0"/>
        <n v="940.0"/>
        <n v="1241.0"/>
        <n v="1039.0"/>
        <n v="1671.0"/>
        <n v="1462.0"/>
        <n v="1581.0"/>
        <n v="1534.0"/>
        <n v="5632.0"/>
        <n v="3173.0"/>
        <n v="3540.0"/>
        <n v="2397.0"/>
        <n v="1955.0"/>
        <n v="1740.0"/>
        <n v="2283.0"/>
        <n v="1284.0"/>
        <n v="1263.0"/>
        <n v="896.0"/>
        <n v="768.0"/>
        <n v="521.0"/>
        <n v="2147.0"/>
        <n v="1335.0"/>
        <n v="1332.0"/>
        <n v="954.0"/>
        <n v="877.0"/>
        <n v="906.0"/>
        <n v="2249.0"/>
        <n v="2472.0"/>
        <n v="1280.0"/>
        <n v="1650.0"/>
        <n v="1257.0"/>
        <n v="2929.0"/>
        <n v="1582.0"/>
        <n v="1639.0"/>
        <n v="2971.0"/>
        <n v="2284.0"/>
        <n v="3938.0"/>
        <n v="4720.0"/>
        <n v="2537.0"/>
        <n v="2621.0"/>
        <n v="2341.0"/>
        <n v="1901.0"/>
        <n v="1666.0"/>
        <n v="3748.0"/>
        <n v="3843.0"/>
        <n v="2281.0"/>
        <n v="2181.0"/>
        <n v="1763.0"/>
      </sharedItems>
    </cacheField>
    <cacheField name="Sales" numFmtId="0">
      <sharedItems containsSemiMixedTypes="0" containsString="0" containsNumber="1">
        <n v="223937.97"/>
        <n v="300345.48"/>
        <n v="86782.47"/>
        <n v="200173.12"/>
        <n v="326906.07"/>
        <n v="307043.94"/>
        <n v="179188.88"/>
        <n v="306351.95"/>
        <n v="224020.41"/>
        <n v="101836.4"/>
        <n v="107804.3"/>
        <n v="144829.96"/>
        <n v="146571.48"/>
        <n v="95422.37"/>
        <n v="114883.17"/>
        <n v="80090.8"/>
        <n v="98945.37"/>
        <n v="84904.9"/>
        <n v="135460.62"/>
        <n v="149925.75"/>
        <n v="74297.31"/>
        <n v="83356.42"/>
        <n v="89922.01"/>
        <n v="57806.3"/>
        <n v="63977.75"/>
        <n v="116958.8"/>
        <n v="155272.82"/>
        <n v="82885.22"/>
        <n v="72353.43"/>
        <n v="50415.9"/>
        <n v="67458.3"/>
        <n v="64640.37"/>
        <n v="137693.87"/>
        <n v="181209.13"/>
        <n v="113433.58"/>
        <n v="143192.53"/>
        <n v="130126.65"/>
        <n v="187155.87"/>
        <n v="102314.71"/>
        <n v="301553.84"/>
        <n v="316073.18"/>
        <n v="135178.04"/>
        <n v="147727.52"/>
        <n v="135498.75"/>
        <n v="163432.85"/>
        <n v="138291.63"/>
        <n v="336901.37"/>
        <n v="367729.27"/>
        <n v="133913.84"/>
        <n v="150800.35"/>
        <n v="55591.93"/>
        <n v="106427.19"/>
        <n v="78940.55"/>
        <n v="317916.32"/>
        <n v="309217.88"/>
        <n v="138491.55"/>
        <n v="133146.22"/>
        <n v="224994.66"/>
        <n v="225051.59"/>
        <n v="344299.68"/>
        <n v="661876.5"/>
        <n v="846678.39"/>
        <n v="478902.3"/>
        <n v="538827.2"/>
        <n v="310346.12"/>
        <n v="256390.52"/>
        <n v="167803.66"/>
        <n v="465318.02"/>
        <n v="520146.75"/>
        <n v="224699.25"/>
        <n v="286230.68"/>
        <n v="187143.02"/>
        <n v="191700.39"/>
        <n v="164663.97"/>
        <n v="395941.35"/>
        <n v="518183.21"/>
        <n v="226617.95"/>
        <n v="243707.87"/>
        <n v="94849.74"/>
        <n v="92386.78"/>
        <n v="180394.83"/>
        <n v="200939.69"/>
        <n v="172953.92"/>
        <n v="70194.8"/>
        <n v="81378.21"/>
        <n v="130227.01"/>
        <n v="125310.04"/>
        <n v="119452.34"/>
        <n v="276174.77"/>
        <n v="357369.27"/>
        <n v="163865.49"/>
        <n v="190719.61"/>
        <n v="244535.21"/>
        <n v="155620.5"/>
        <n v="136001.98"/>
        <n v="190559.89"/>
        <n v="217110.5"/>
        <n v="119190.1"/>
        <n v="131910.2"/>
        <n v="118921.31"/>
        <n v="124828.28"/>
        <n v="179326.49"/>
        <n v="318949.82"/>
        <n v="375031.11"/>
        <n v="166393.54"/>
        <n v="193652.33"/>
        <n v="249805.52"/>
        <n v="294023.41"/>
        <n v="612236.01"/>
        <n v="464815.52"/>
        <n v="360480.94"/>
        <n v="114279.58"/>
        <n v="161170.82"/>
        <n v="182483.15"/>
        <n v="109358.41"/>
        <n v="98430.11"/>
        <n v="295741.35"/>
        <n v="285053.98"/>
        <n v="124964.8"/>
        <n v="124175.81"/>
        <n v="131842.57"/>
        <n v="154850.06"/>
        <n v="180294.27"/>
        <n v="163849.04"/>
        <n v="131436.79"/>
        <n v="93082.04"/>
        <n v="110887.01"/>
        <n v="119385.58"/>
        <n v="91719.59"/>
        <n v="96335.45"/>
        <n v="303226.3"/>
        <n v="431695.71"/>
        <n v="200407.28"/>
        <n v="183413.71"/>
        <n v="146166.6"/>
        <n v="201120.73"/>
        <n v="270123.55"/>
        <n v="415315.38"/>
        <n v="498717.0"/>
        <n v="166433.17"/>
        <n v="168520.63"/>
        <n v="178123.53"/>
        <n v="194878.8"/>
        <n v="115475.1"/>
        <n v="430521.02"/>
        <n v="590642.83"/>
        <n v="210764.72"/>
        <n v="218189.35"/>
        <n v="226132.46"/>
        <n v="243720.87"/>
        <n v="207429.43"/>
        <n v="503149.43"/>
        <n v="603748.79"/>
        <n v="456017.46"/>
        <n v="425845.2"/>
        <n v="328217.77"/>
        <n v="286406.0"/>
        <n v="184989.89"/>
        <n v="288118.3"/>
        <n v="391930.88"/>
        <n v="193772.58"/>
        <n v="214177.98"/>
        <n v="188334.52"/>
        <n v="174324.99"/>
        <n v="200271.56"/>
        <n v="468701.63"/>
        <n v="473425.75"/>
        <n v="224232.12"/>
        <n v="185606.28"/>
        <n v="212687.51"/>
        <n v="184259.69"/>
        <n v="113735.82"/>
        <n v="203165.08"/>
        <n v="203345.24"/>
        <n v="134944.49"/>
        <n v="138298.21"/>
        <n v="36692.68"/>
        <n v="56077.54"/>
        <n v="55780.71"/>
        <n v="131721.24"/>
        <n v="146169.08"/>
        <n v="62073.59"/>
        <n v="93619.85"/>
        <n v="180183.03"/>
        <n v="104760.71"/>
        <n v="93450.53"/>
        <n v="98087.56"/>
        <n v="117562.26"/>
        <n v="70153.08"/>
        <n v="68918.42"/>
        <n v="108417.4"/>
        <n v="81802.61"/>
        <n v="103998.56"/>
        <n v="134018.09"/>
        <n v="99277.3"/>
        <n v="49705.23"/>
        <n v="75384.57"/>
        <n v="110288.23"/>
        <n v="156536.69"/>
        <n v="80823.06"/>
        <n v="124615.69"/>
        <n v="242758.95"/>
        <n v="85078.24"/>
        <n v="86738.07"/>
        <n v="56673.62"/>
        <n v="165742.17"/>
        <n v="95618.25"/>
        <n v="515698.8"/>
        <n v="562590.37"/>
        <n v="266305.93"/>
        <n v="292634.75"/>
        <n v="212360.99"/>
        <n v="198019.33"/>
        <n v="295508.33"/>
        <n v="611894.67"/>
        <n v="628685.22"/>
        <n v="307272.68"/>
        <n v="362106.53"/>
        <n v="262349.59"/>
        <n v="80697.9"/>
        <n v="103272.62"/>
        <n v="439421.42"/>
        <n v="408616.35"/>
        <n v="195866.77"/>
        <n v="232347.35"/>
        <n v="190325.18"/>
        <n v="197698.12"/>
        <n v="177908.84"/>
        <n v="473321.88"/>
        <n v="541600.89"/>
        <n v="239513.98"/>
        <n v="255224.22"/>
        <n v="160372.04"/>
        <n v="171587.33"/>
        <n v="164208.06"/>
        <n v="376778.84"/>
        <n v="453633.47"/>
        <n v="214392.4"/>
        <n v="316404.06"/>
        <n v="242824.5"/>
        <n v="274712.25"/>
        <n v="258066.17"/>
        <n v="594007.21"/>
        <n v="717096.71"/>
        <n v="358171.0"/>
        <n v="594953.63"/>
        <n v="469469.94"/>
        <n v="464067.8"/>
        <n v="312311.95"/>
        <n v="501279.0"/>
        <n v="552703.9"/>
        <n v="234153.76"/>
        <n v="244481.5"/>
        <n v="122749.64"/>
        <n v="78736.4"/>
        <n v="70875.11"/>
        <n v="148634.39"/>
        <n v="171724.83"/>
        <n v="86435.7"/>
        <n v="120236.18"/>
        <n v="83204.2"/>
        <n v="73768.03"/>
        <n v="69425.45"/>
        <n v="137154.95"/>
        <n v="153569.06"/>
        <n v="75633.32"/>
        <n v="90815.93"/>
        <n v="110118.16"/>
        <n v="209908.38"/>
        <n v="358365.68"/>
        <n v="585464.0"/>
        <n v="617019.09"/>
        <n v="283850.6"/>
        <n v="264317.11"/>
        <n v="358024.98"/>
        <n v="594438.28"/>
        <n v="470507.66"/>
        <n v="518693.53"/>
        <n v="656245.83"/>
        <n v="280055.12"/>
        <n v="375648.02"/>
        <n v="78111.72"/>
        <n v="70509.13"/>
        <n v="103281.31"/>
        <n v="179841.43"/>
        <n v="138038.24"/>
        <n v="61037.56"/>
        <n v="86799.76"/>
        <n v="69570.5"/>
        <n v="130476.36"/>
        <n v="95229.77"/>
        <n v="121057.86"/>
        <n v="169498.92"/>
        <n v="90692.38"/>
        <n v="101723.92"/>
        <n v="103395.69"/>
        <n v="99075.6"/>
        <n v="97476.14"/>
        <n v="248974.65"/>
        <n v="302721.68"/>
        <n v="128520.73"/>
        <n v="145185.27"/>
        <n v="89527.56"/>
        <n v="81991.88"/>
        <n v="69704.49"/>
        <n v="166652.39"/>
        <n v="247453.1"/>
        <n v="148476.18"/>
        <n v="205368.92"/>
        <n v="99244.68"/>
        <n v="72756.86"/>
        <n v="86867.46"/>
        <n v="140167.8"/>
        <n v="160727.3"/>
        <n v="74115.63"/>
        <n v="76103.29"/>
        <n v="56303.37"/>
        <n v="49436.82"/>
        <n v="55033.12"/>
        <n v="149808.17"/>
        <n v="180685.51"/>
        <n v="75871.44"/>
        <n v="86313.33"/>
        <n v="62631.8"/>
        <n v="48529.1"/>
        <n v="51040.88"/>
        <n v="53973.92"/>
        <n v="47497.98"/>
        <n v="31219.95"/>
        <n v="26870.32"/>
        <n v="40530.64"/>
        <n v="30371.43"/>
        <n v="37776.66"/>
        <n v="46818.21"/>
        <n v="88321.63"/>
        <n v="101037.83"/>
        <n v="105100.67"/>
        <n v="88219.53"/>
        <n v="71590.37"/>
        <n v="54996.62"/>
        <n v="77884.18"/>
        <n v="150370.12"/>
        <n v="104675.38"/>
        <n v="90121.53"/>
        <n v="75425.44"/>
        <n v="161844.81"/>
        <n v="158603.36"/>
        <n v="279092.1"/>
        <n v="369350.99"/>
        <n v="177500.11"/>
        <n v="282246.63"/>
        <n v="166037.93"/>
        <n v="148911.0"/>
        <n v="202359.14"/>
        <n v="274343.65"/>
        <n v="316167.07"/>
        <n v="173833.4"/>
        <n v="204565.08"/>
        <n v="316394.73"/>
        <n v="486230.32"/>
        <n v="137686.53"/>
        <n v="48102.96"/>
        <n v="110162.13"/>
        <n v="69051.34"/>
        <n v="133307.37"/>
        <n v="216389.5"/>
        <n v="365055.31"/>
        <n v="112161.42"/>
        <n v="271101.46"/>
        <n v="245813.29"/>
        <n v="178394.81"/>
        <n v="220443.63"/>
        <n v="181534.19"/>
        <n v="83176.48"/>
        <n v="76894.78"/>
        <n v="123859.39"/>
        <n v="120807.57"/>
        <n v="69597.37"/>
        <n v="84738.29"/>
        <n v="64653.97"/>
        <n v="59553.39"/>
        <n v="79080.76"/>
        <n v="149444.06"/>
        <n v="170624.08"/>
        <n v="74744.28"/>
        <n v="90144.16"/>
        <n v="97826.81"/>
        <n v="62795.98"/>
        <n v="66550.99"/>
        <n v="154670.89"/>
        <n v="158722.11"/>
        <n v="78092.28"/>
        <n v="91830.4"/>
        <n v="76992.94"/>
        <n v="59897.72"/>
        <n v="57310.19"/>
        <n v="134540.21"/>
        <n v="200193.61"/>
        <n v="171469.93"/>
        <n v="151737.22"/>
        <n v="102072.44"/>
        <n v="82514.11"/>
        <n v="46211.33"/>
        <n v="85730.41"/>
        <n v="105918.29"/>
        <n v="73041.66"/>
        <n v="97908.55"/>
        <n v="138667.42"/>
        <n v="162162.1"/>
        <n v="138520.13"/>
        <n v="358597.43"/>
        <n v="424009.88"/>
        <n v="203861.47"/>
        <n v="220506.21"/>
        <n v="139935.94"/>
        <n v="161064.75"/>
        <n v="144328.55"/>
        <n v="293071.76"/>
        <n v="267782.15"/>
        <n v="136052.69"/>
        <n v="86703.31"/>
        <n v="95474.36"/>
        <n v="198431.63"/>
        <n v="157291.73"/>
        <n v="307540.68"/>
        <n v="350898.76"/>
        <n v="256701.54"/>
        <n v="234705.59"/>
        <n v="249380.57"/>
        <n v="258211.44"/>
        <n v="145975.83"/>
        <n v="269239.85"/>
        <n v="306920.21"/>
        <n v="122106.8"/>
        <n v="117661.28"/>
        <n v="62499.8"/>
        <n v="57063.98"/>
        <n v="48008.48"/>
        <n v="117446.84"/>
        <n v="150591.55"/>
        <n v="67152.47"/>
        <n v="80635.29"/>
        <n v="50669.64"/>
        <n v="48648.99"/>
        <n v="43213.18"/>
        <n v="96881.02"/>
        <n v="121360.89"/>
        <n v="66954.37"/>
        <n v="81342.15"/>
        <n v="125060.71"/>
        <n v="253218.83"/>
        <n v="229184.47"/>
        <n v="354191.35"/>
        <n v="459484.67"/>
        <n v="224102.89"/>
        <n v="215203.56"/>
        <n v="355534.91"/>
        <n v="498894.34"/>
        <n v="715032.19"/>
        <n v="510289.22"/>
        <n v="400302.04"/>
        <n v="135578.2"/>
        <n v="182466.26"/>
        <n v="176814.2"/>
        <n v="100917.67"/>
        <n v="74690.67"/>
        <n v="114067.08"/>
        <n v="126507.8"/>
        <n v="79648.63"/>
        <n v="83137.43"/>
        <n v="40776.03"/>
        <n v="58278.46"/>
        <n v="50000.1"/>
        <n v="103911.92"/>
        <n v="132843.22"/>
        <n v="62786.61"/>
        <n v="57233.41"/>
        <n v="56874.35"/>
        <n v="132737.74"/>
        <n v="60310.34"/>
        <n v="343587.01"/>
        <n v="496882.32"/>
        <n v="200369.83"/>
        <n v="194028.06"/>
        <n v="190560.58"/>
        <n v="198985.4"/>
        <n v="385482.87"/>
        <n v="499703.41"/>
        <n v="461667.0"/>
        <n v="259541.61"/>
        <n v="320309.27"/>
        <n v="239923.0"/>
        <n v="224994.2"/>
        <n v="117197.97"/>
        <n v="330589.2"/>
        <n v="389972.12"/>
        <n v="166536.0"/>
        <n v="198442.91"/>
        <n v="193182.15"/>
        <n v="166403.13"/>
        <n v="149178.6"/>
        <n v="380592.58"/>
        <n v="413700.18"/>
        <n v="177159.67"/>
        <n v="196420.76"/>
        <n v="137940.87"/>
        <n v="166176.28"/>
        <n v="84604.38"/>
        <n v="321821.02"/>
        <n v="418715.41"/>
        <n v="169541.27"/>
        <n v="256434.51"/>
        <n v="199385.91"/>
        <n v="243554.22"/>
        <n v="217746.01"/>
        <n v="472160.75"/>
        <n v="546135.46"/>
        <n v="264637.37"/>
        <n v="440906.0"/>
        <n v="334318.9"/>
        <n v="269835.83"/>
        <n v="201146.49"/>
        <n v="293461.08"/>
        <n v="349413.01"/>
        <n v="179602.92"/>
        <n v="109810.55"/>
        <n v="76956.92"/>
        <n v="71199.59"/>
        <n v="68988.35"/>
        <n v="155156.88"/>
        <n v="185109.52"/>
        <n v="83779.54"/>
        <n v="149501.57"/>
        <n v="100477.3"/>
        <n v="89072.71"/>
        <n v="78746.6"/>
        <n v="141913.38"/>
        <n v="169304.28"/>
        <n v="89512.24"/>
        <n v="85984.08"/>
        <n v="64956.46"/>
        <n v="106613.43"/>
        <n v="183843.82"/>
        <n v="319579.79"/>
        <n v="369245.76"/>
        <n v="185648.49"/>
        <n v="165557.76"/>
        <n v="212465.08"/>
        <n v="305231.91"/>
        <n v="250481.62"/>
        <n v="268410.48"/>
        <n v="316365.5"/>
        <n v="156873.04"/>
        <n v="173987.75"/>
        <n v="135753.77"/>
        <n v="84426.51"/>
        <n v="70815.19"/>
        <n v="125983.15"/>
        <n v="142378.18"/>
        <n v="57427.68"/>
        <n v="63331.33"/>
        <n v="51241.03"/>
        <n v="80326.44"/>
        <n v="71912.57"/>
        <n v="119204.31"/>
        <n v="129441.28"/>
        <n v="77645.75"/>
        <n v="69926.65"/>
        <n v="71973.04"/>
        <n v="44304.9"/>
        <n v="66799.72"/>
        <n v="125689.59"/>
        <n v="138624.95"/>
        <n v="81715.05"/>
        <n v="86842.86"/>
        <n v="56976.79"/>
        <n v="53433.67"/>
        <n v="55134.08"/>
        <n v="145033.61"/>
        <n v="173306.91"/>
        <n v="88154.34"/>
        <n v="81142.03"/>
        <n v="77672.88"/>
        <n v="75483.42"/>
        <n v="74354.57"/>
        <n v="120326.88"/>
        <n v="131867.99"/>
        <n v="75504.0"/>
        <n v="69968.08"/>
        <n v="60187.15"/>
        <n v="44698.7"/>
        <n v="39463.41"/>
        <n v="85794.1"/>
        <n v="117288.01"/>
        <n v="71056.06"/>
        <n v="64394.07"/>
        <n v="35165.97"/>
        <n v="23234.18"/>
        <n v="24754.96"/>
        <n v="76691.28"/>
        <n v="102231.21"/>
        <n v="56974.87"/>
        <n v="59442.73"/>
        <n v="217683.36"/>
        <n v="275458.81"/>
        <n v="228731.87"/>
        <n v="387639.12"/>
        <n v="461188.0"/>
        <n v="202249.68"/>
        <n v="332559.76"/>
        <n v="384806.77"/>
        <n v="345776.25"/>
        <n v="271551.1"/>
        <n v="340440.21"/>
        <n v="364416.73"/>
        <n v="164719.6"/>
        <n v="178921.1"/>
        <n v="70287.0"/>
        <n v="76013.68"/>
        <n v="48406.79"/>
        <n v="85940.03"/>
        <n v="57381.75"/>
        <n v="32479.8"/>
        <n v="52160.18"/>
        <n v="51002.84"/>
        <n v="30194.72"/>
        <n v="29751.22"/>
        <n v="68504.64"/>
        <n v="68996.56"/>
        <n v="41855.93"/>
        <n v="44303.47"/>
        <n v="46599.3"/>
        <n v="125182.76"/>
        <n v="150036.81"/>
        <n v="368037.69"/>
        <n v="351319.64"/>
        <n v="163289.94"/>
        <n v="190892.46"/>
        <n v="143082.13"/>
        <n v="323548.79"/>
        <n v="402312.33"/>
        <n v="393635.17"/>
        <n v="451100.06"/>
        <n v="202902.62"/>
        <n v="294557.65"/>
        <n v="221618.33"/>
        <n v="63968.38"/>
        <n v="59609.54"/>
        <n v="126588.25"/>
        <n v="119755.01"/>
        <n v="57413.41"/>
        <n v="57749.14"/>
        <n v="40140.82"/>
        <n v="42195.82"/>
        <n v="53490.8"/>
        <n v="110809.32"/>
        <n v="111527.01"/>
        <n v="59808.14"/>
        <n v="55166.23"/>
        <n v="42054.68"/>
        <n v="53678.18"/>
        <n v="55930.17"/>
        <n v="185771.0"/>
        <n v="253116.91"/>
        <n v="118618.45"/>
        <n v="123320.78"/>
        <n v="117051.28"/>
        <n v="159299.99"/>
        <n v="119047.41"/>
        <n v="285081.97"/>
        <n v="391656.21"/>
        <n v="274814.78"/>
        <n v="269555.02"/>
        <n v="192001.03"/>
        <n v="201367.79"/>
        <n v="111874.56"/>
        <n v="214540.33"/>
        <n v="280264.24"/>
        <n v="134136.73"/>
        <n v="94243.47"/>
        <n v="131436.2"/>
        <n v="147893.94"/>
        <n v="140238.39"/>
        <n v="358183.77"/>
        <n v="377937.14"/>
        <n v="168729.96"/>
        <n v="177192.57"/>
        <n v="152368.75"/>
        <n v="147471.8"/>
        <n v="145697.15"/>
        <n v="301033.99"/>
        <n v="309518.07"/>
        <n v="152504.63"/>
        <n v="79711.58"/>
        <n v="111021.38"/>
        <n v="243161.26"/>
        <n v="311443.18"/>
        <n v="375876.01"/>
        <n v="434639.66"/>
        <n v="238637.82"/>
        <n v="260653.67"/>
        <n v="262394.78"/>
        <n v="248437.71"/>
        <n v="201048.83"/>
        <n v="317690.76"/>
        <n v="378527.87"/>
        <n v="195425.39"/>
        <n v="90441.6"/>
        <n v="117649.0"/>
        <n v="141285.4"/>
        <n v="133183.69"/>
        <n v="229672.26"/>
        <n v="333488.8"/>
        <n v="185422.89"/>
        <n v="173833.13"/>
        <n v="220271.72"/>
        <n v="234468.07"/>
        <n v="213778.14"/>
        <n v="273563.01"/>
        <n v="337506.79"/>
        <n v="155312.78"/>
        <n v="289243.38"/>
        <n v="313125.33"/>
        <n v="268330.39"/>
        <n v="392228.14"/>
        <n v="133728.98"/>
        <n v="82778.44"/>
        <n v="69522.84"/>
        <n v="133021.27"/>
        <n v="161267.52"/>
        <n v="208583.22"/>
        <n v="325457.53"/>
        <n v="111650.24"/>
        <n v="262421.28"/>
        <n v="164527.54"/>
        <n v="274990.15"/>
        <n v="215737.84"/>
        <n v="98646.98"/>
        <n v="74401.22"/>
        <n v="106592.34"/>
        <n v="134629.66"/>
        <n v="90773.65"/>
        <n v="121373.07"/>
        <n v="99445.56"/>
        <n v="67587.55"/>
        <n v="61685.94"/>
        <n v="150006.93"/>
        <n v="191287.35"/>
        <n v="92595.46"/>
        <n v="96947.05"/>
        <n v="70512.89"/>
        <n v="159590.49"/>
        <n v="67046.27"/>
        <n v="266949.24"/>
        <n v="315272.22"/>
        <n v="149138.92"/>
        <n v="215171.04"/>
        <n v="205197.9"/>
        <n v="214452.25"/>
        <n v="195767.97"/>
        <n v="397984.33"/>
        <n v="512603.1"/>
        <n v="218104.07"/>
        <n v="339004.34"/>
        <n v="278116.37"/>
        <n v="264159.3"/>
        <n v="197778.13"/>
        <n v="325749.01"/>
        <n v="371561.98"/>
        <n v="174581.68"/>
        <n v="208489.37"/>
        <n v="84495.17"/>
        <n v="76661.25"/>
        <n v="64034.94"/>
        <n v="148839.97"/>
        <n v="172541.51"/>
        <n v="87991.66"/>
        <n v="123445.38"/>
        <n v="77344.69"/>
        <n v="158963.02"/>
        <n v="69598.07"/>
        <n v="161275.6"/>
        <n v="325215.08"/>
        <n v="96957.3"/>
        <n v="85224.48"/>
        <n v="54612.88"/>
        <n v="81530.61"/>
        <n v="160947.53"/>
        <n v="188736.25"/>
        <n v="215951.51"/>
        <n v="134995.85"/>
        <n v="163079.38"/>
        <n v="180828.67"/>
        <n v="171196.18"/>
        <n v="129719.05"/>
        <n v="142127.64"/>
        <n v="152124.41"/>
        <n v="74132.79"/>
        <n v="91143.03"/>
        <n v="60528.09"/>
        <n v="38340.6"/>
        <n v="37453.01"/>
        <n v="77997.05"/>
        <n v="79752.28"/>
        <n v="37155.59"/>
        <n v="45046.51"/>
        <n v="55489.33"/>
        <n v="41893.3"/>
        <n v="34348.5"/>
        <n v="78276.83"/>
        <n v="92851.4"/>
        <n v="54845.79"/>
        <n v="48037.8"/>
        <n v="65905.72"/>
        <n v="84870.05"/>
        <n v="262459.51"/>
        <n v="228124.4"/>
        <n v="162929.49"/>
        <n v="58359.83"/>
        <n v="85605.33"/>
        <n v="84836.41"/>
        <n v="64308.91"/>
        <n v="131168.49"/>
        <n v="232410.2"/>
        <n v="195831.1"/>
        <n v="90716.55"/>
        <n v="131638.02"/>
        <n v="81910.87"/>
        <n v="54821.91"/>
        <n v="155615.42"/>
        <n v="264086.89"/>
        <n v="272761.3"/>
        <n v="104689.43"/>
        <n v="131170.6"/>
        <n v="123179.49"/>
        <n v="124431.05"/>
        <n v="162166.84"/>
        <n v="354042.02"/>
        <n v="327352.26"/>
        <n v="164809.3"/>
        <n v="151157.79"/>
        <n v="126895.94"/>
        <n v="166395.45"/>
        <n v="167796.35"/>
        <n v="351146.02"/>
        <n v="420738.82"/>
        <n v="186166.15"/>
        <n v="251449.53"/>
        <n v="280321.81"/>
        <n v="313434.93"/>
        <n v="257324.6"/>
        <n v="455554.34"/>
        <n v="556865.2"/>
        <n v="354856.04"/>
        <n v="283284.58"/>
        <n v="297500.67"/>
        <n v="285968.49"/>
        <n v="237946.63"/>
        <n v="340851.51"/>
        <n v="388187.6"/>
        <n v="139178.98"/>
        <n v="66400.3"/>
        <n v="42723.52"/>
        <n v="35014.4"/>
        <n v="27210.41"/>
        <n v="79840.09"/>
        <n v="82484.45"/>
        <n v="51497.24"/>
        <n v="42871.83"/>
        <n v="39104.64"/>
        <n v="34406.75"/>
        <n v="39403.66"/>
        <n v="96830.9"/>
        <n v="99380.39"/>
        <n v="61656.18"/>
        <n v="69163.56"/>
        <n v="113112.87"/>
        <n v="253686.3"/>
        <n v="210305.29"/>
        <n v="364087.42"/>
        <n v="397480.37"/>
        <n v="204028.18"/>
        <n v="172797.94"/>
        <n v="258970.65"/>
        <n v="368789.57"/>
        <n v="278071.39"/>
        <n v="373959.36"/>
        <n v="402057.25"/>
        <n v="205719.45"/>
        <n v="177626.95"/>
        <n v="70441.91"/>
        <n v="162923.85"/>
        <n v="138752.53"/>
        <n v="252458.26"/>
        <n v="293917.85"/>
        <n v="138350.12"/>
        <n v="130067.28"/>
        <n v="107168.66"/>
        <n v="224030.55"/>
        <n v="201918.22"/>
        <n v="329344.27"/>
        <n v="308642.98"/>
        <n v="134472.41"/>
        <n v="143809.72"/>
        <n v="123252.15"/>
        <n v="40067.15"/>
        <n v="143752.74"/>
        <n v="389904.01"/>
        <n v="461280.79"/>
        <n v="221578.7"/>
        <n v="253702.22"/>
        <n v="200616.08"/>
        <n v="211700.81"/>
        <n v="282757.71"/>
        <n v="479010.16"/>
        <n v="454543.29"/>
        <n v="242185.18"/>
        <n v="281531.69"/>
        <n v="219363.22"/>
        <n v="204005.58"/>
        <n v="69579.07"/>
        <n v="87184.74"/>
        <n v="78700.44"/>
        <n v="39809.56"/>
        <n v="45839.24"/>
        <n v="36851.76"/>
        <n v="33225.67"/>
        <n v="30423.39"/>
        <n v="80345.64"/>
        <n v="95297.34"/>
        <n v="45324.05"/>
        <n v="51604.12"/>
        <n v="37870.12"/>
        <n v="35169.92"/>
        <n v="61148.21"/>
        <n v="77171.7"/>
        <n v="40881.35"/>
        <n v="43085.6"/>
        <n v="43894.99"/>
        <n v="67780.73"/>
        <n v="51907.94"/>
        <n v="93508.63"/>
        <n v="95343.6"/>
        <n v="59514.99"/>
        <n v="65133.97"/>
        <n v="70641.25"/>
        <n v="48442.17"/>
        <n v="46291.37"/>
        <n v="73453.14"/>
        <n v="71508.9"/>
        <n v="30066.13"/>
        <n v="37726.62"/>
        <n v="30831.69"/>
        <n v="146811.46"/>
        <n v="99867.33"/>
        <n v="210664.86"/>
        <n v="266271.04"/>
        <n v="123084.04"/>
        <n v="162727.52"/>
        <n v="114708.95"/>
        <n v="122318.91"/>
        <n v="112010.34"/>
        <n v="229861.47"/>
        <n v="249981.25"/>
        <n v="136480.25"/>
        <n v="127369.8"/>
        <n v="43537.73"/>
        <n v="120407.41"/>
        <n v="226375.54"/>
        <n v="337900.18"/>
        <n v="355069.54"/>
        <n v="153893.69"/>
        <n v="159625.74"/>
        <n v="133961.97"/>
        <n v="236305.16"/>
        <n v="313491.74"/>
        <n v="370355.0"/>
        <n v="369091.06"/>
        <n v="209026.02"/>
        <n v="228177.32"/>
        <n v="154494.78"/>
        <n v="50736.47"/>
        <n v="43292.15"/>
        <n v="77335.92"/>
        <n v="85070.23"/>
        <n v="48831.67"/>
        <n v="52075.16"/>
        <n v="30424.73"/>
        <n v="20495.11"/>
        <n v="40742.17"/>
        <n v="69864.84"/>
        <n v="100120.71"/>
        <n v="49825.1"/>
        <n v="46566.46"/>
        <n v="37923.77"/>
        <n v="50084.81"/>
        <n v="41885.83"/>
        <n v="147503.57"/>
        <n v="151639.18"/>
        <n v="72457.3"/>
        <n v="67355.06"/>
        <n v="58941.79"/>
        <n v="58796.79"/>
        <n v="57019.39"/>
        <n v="155918.38"/>
        <n v="208489.09"/>
        <n v="118580.47"/>
        <n v="142758.88"/>
        <n v="96620.99"/>
        <n v="78861.59"/>
        <n v="70279.47"/>
        <n v="87748.86"/>
        <n v="92053.33"/>
        <n v="51751.38"/>
        <n v="50934.98"/>
        <n v="36113.93"/>
        <n v="31023.36"/>
        <n v="22334.21"/>
        <n v="69440.93"/>
        <n v="92159.03"/>
        <n v="57296.29"/>
        <n v="57184.94"/>
        <n v="40951.1"/>
        <n v="37672.45"/>
        <n v="38648.14"/>
        <n v="96020.55"/>
        <n v="105662.59"/>
        <n v="54738.48"/>
        <n v="40131.57"/>
        <n v="70402.99"/>
        <n v="62501.74"/>
        <n v="53675.22"/>
        <n v="102606.33"/>
        <n v="124988.16"/>
        <n v="67521.04"/>
        <n v="70020.6"/>
        <n v="126954.17"/>
        <n v="97558.25"/>
        <n v="97039.01"/>
        <n v="168349.27"/>
        <n v="202017.42"/>
        <n v="108459.0"/>
        <n v="112536.38"/>
        <n v="100479.93"/>
        <n v="81649.69"/>
        <n v="71529.16"/>
        <n v="160938.6"/>
        <n v="164998.84"/>
        <n v="97946.78"/>
        <n v="87834.25"/>
        <n v="95509.13"/>
        <n v="77229.97"/>
      </sharedItems>
    </cacheField>
    <cacheField name="Unit Price" numFmtId="0">
      <sharedItems containsSemiMixedTypes="0" containsString="0" containsNumber="1">
        <n v="32.8"/>
        <n v="32.41"/>
        <n v="32.42"/>
        <n v="32.44"/>
        <n v="32.43"/>
        <n v="34.06"/>
        <n v="34.13"/>
        <n v="34.11"/>
        <n v="34.1"/>
        <n v="34.08"/>
        <n v="34.14"/>
        <n v="34.12"/>
        <n v="34.09"/>
        <n v="33.92"/>
        <n v="34.18"/>
        <n v="34.17"/>
        <n v="34.16"/>
        <n v="32.47"/>
        <n v="33.79"/>
        <n v="32.48"/>
        <n v="32.46"/>
        <n v="32.45"/>
        <n v="31.64"/>
        <n v="31.07"/>
        <n v="31.81"/>
        <n v="32.06"/>
        <n v="31.92"/>
        <n v="31.91"/>
        <n v="31.7"/>
        <n v="31.74"/>
        <n v="33.08"/>
        <n v="31.98"/>
        <n v="31.99"/>
        <n v="32.04"/>
        <n v="32.05"/>
        <n v="32.62"/>
        <n v="32.57"/>
        <n v="32.54"/>
        <n v="32.52"/>
        <n v="35.04"/>
        <n v="35.03"/>
        <n v="34.07"/>
        <n v="33.72"/>
        <n v="33.97"/>
        <n v="33.98"/>
        <n v="34.2"/>
        <n v="34.02"/>
        <n v="34.03"/>
        <n v="34.29"/>
        <n v="34.35"/>
        <n v="34.58"/>
        <n v="34.23"/>
        <n v="33.33"/>
        <n v="33.32"/>
        <n v="33.34"/>
        <n v="33.35"/>
        <n v="34.64"/>
        <n v="34.72"/>
        <n v="34.79"/>
        <n v="34.63"/>
        <n v="35.21"/>
        <n v="35.19"/>
        <n v="35.77"/>
        <n v="35.55"/>
        <n v="35.23"/>
        <n v="35.16"/>
        <n v="35.92"/>
        <n v="34.26"/>
        <n v="35.91"/>
        <n v="32.51"/>
        <n v="32.16"/>
        <n v="32.13"/>
        <n v="32.07"/>
        <n v="32.37"/>
        <n v="32.09"/>
        <n v="32.11"/>
        <n v="33.75"/>
        <n v="32.17"/>
        <n v="32.18"/>
        <n v="32.31"/>
        <n v="32.2"/>
        <n v="32.14"/>
        <n v="32.12"/>
        <n v="32.0"/>
        <n v="32.1"/>
        <n v="32.03"/>
        <n v="31.79"/>
        <n v="33.2"/>
        <n v="33.01"/>
        <n v="33.61"/>
        <n v="33.46"/>
        <n v="35.05"/>
        <n v="33.31"/>
        <n v="33.37"/>
        <n v="31.87"/>
        <n v="30.84"/>
        <n v="30.72"/>
        <n v="30.75"/>
        <n v="30.76"/>
        <n v="30.7"/>
        <n v="30.73"/>
        <n v="36.72"/>
        <n v="36.67"/>
        <n v="36.77"/>
        <n v="36.73"/>
        <n v="36.75"/>
        <n v="36.78"/>
        <n v="36.76"/>
        <n v="36.68"/>
        <n v="36.7"/>
        <n v="36.8"/>
        <n v="39.4"/>
        <n v="39.39"/>
        <n v="37.62"/>
        <n v="37.66"/>
        <n v="37.75"/>
        <n v="37.61"/>
        <n v="37.54"/>
        <n v="37.6"/>
        <n v="37.63"/>
        <n v="37.58"/>
        <n v="37.59"/>
        <n v="37.5"/>
        <n v="42.13"/>
        <n v="42.33"/>
        <n v="42.36"/>
        <n v="41.92"/>
        <n v="41.87"/>
        <n v="42.84"/>
        <n v="42.93"/>
        <n v="42.72"/>
        <n v="42.71"/>
        <n v="42.54"/>
        <n v="42.18"/>
        <n v="40.65"/>
        <n v="40.13"/>
        <n v="40.2"/>
        <n v="40.69"/>
        <n v="39.94"/>
        <n v="38.6"/>
        <n v="40.56"/>
        <n v="40.53"/>
        <n v="39.52"/>
        <n v="38.15"/>
        <n v="38.45"/>
        <n v="38.26"/>
        <n v="38.32"/>
        <n v="38.54"/>
        <n v="38.53"/>
        <n v="38.27"/>
        <n v="38.42"/>
        <n v="38.24"/>
        <n v="38.28"/>
        <n v="40.8"/>
        <n v="40.68"/>
        <n v="41.17"/>
        <n v="41.15"/>
        <n v="41.18"/>
        <n v="38.59"/>
        <n v="38.57"/>
        <n v="38.61"/>
        <n v="38.58"/>
        <n v="38.56"/>
        <n v="41.16"/>
        <n v="41.19"/>
        <n v="37.71"/>
        <n v="37.72"/>
        <n v="37.7"/>
        <n v="37.73"/>
        <n v="37.69"/>
        <n v="40.33"/>
        <n v="37.74"/>
        <n v="37.77"/>
        <n v="37.84"/>
        <n v="37.76"/>
        <n v="37.79"/>
        <n v="40.67"/>
        <n v="41.65"/>
        <n v="41.69"/>
        <n v="41.74"/>
        <n v="41.82"/>
        <n v="41.88"/>
        <n v="41.94"/>
        <n v="41.93"/>
        <n v="42.04"/>
        <n v="42.06"/>
        <n v="38.64"/>
        <n v="37.8"/>
        <n v="38.69"/>
        <n v="38.7"/>
        <n v="38.63"/>
        <n v="38.62"/>
        <n v="38.67"/>
        <n v="38.75"/>
        <n v="37.92"/>
        <n v="37.82"/>
        <n v="42.05"/>
        <n v="42.02"/>
        <n v="42.03"/>
        <n v="42.01"/>
        <n v="41.95"/>
        <n v="42.0"/>
        <n v="37.78"/>
        <n v="39.41"/>
        <n v="39.43"/>
        <n v="39.6"/>
        <n v="39.15"/>
        <n v="39.34"/>
        <n v="39.21"/>
        <n v="39.18"/>
        <n v="38.89"/>
        <n v="38.83"/>
        <n v="38.96"/>
        <n v="39.13"/>
        <n v="38.99"/>
        <n v="38.8"/>
        <n v="38.52"/>
        <n v="38.81"/>
        <n v="38.73"/>
        <n v="38.65"/>
        <n v="38.74"/>
        <n v="38.78"/>
        <n v="38.92"/>
        <n v="39.04"/>
        <n v="39.12"/>
        <n v="38.97"/>
        <n v="38.84"/>
        <n v="38.51"/>
        <n v="38.17"/>
        <n v="38.13"/>
        <n v="38.18"/>
        <n v="38.23"/>
        <n v="38.08"/>
        <n v="38.1"/>
        <n v="38.14"/>
        <n v="38.47"/>
        <n v="38.5"/>
        <n v="38.19"/>
        <n v="38.9"/>
        <n v="34.28"/>
        <n v="34.27"/>
        <n v="34.21"/>
        <n v="34.24"/>
        <n v="34.32"/>
        <n v="34.22"/>
        <n v="38.76"/>
        <n v="39.29"/>
        <n v="39.17"/>
        <n v="39.06"/>
        <n v="39.25"/>
        <n v="39.23"/>
        <n v="39.03"/>
        <n v="39.07"/>
        <n v="39.42"/>
        <n v="33.4"/>
        <n v="33.36"/>
        <n v="33.38"/>
        <n v="33.48"/>
        <n v="39.44"/>
        <n v="36.84"/>
        <n v="36.83"/>
        <n v="36.86"/>
        <n v="36.85"/>
        <n v="35.15"/>
        <n v="36.88"/>
        <n v="35.13"/>
        <n v="35.14"/>
        <n v="35.09"/>
        <n v="40.31"/>
        <n v="35.11"/>
        <n v="35.08"/>
        <n v="35.06"/>
        <n v="35.1"/>
        <n v="35.12"/>
        <n v="33.59"/>
        <n v="33.39"/>
        <n v="33.43"/>
        <n v="35.07"/>
        <n v="35.25"/>
        <n v="35.5"/>
        <n v="37.04"/>
        <n v="36.89"/>
        <n v="35.39"/>
        <n v="36.98"/>
        <n v="36.87"/>
        <n v="35.46"/>
        <n v="35.61"/>
        <n v="35.33"/>
        <n v="35.3"/>
        <n v="35.56"/>
        <n v="35.44"/>
        <n v="35.29"/>
        <n v="41.07"/>
        <n v="41.11"/>
        <n v="41.12"/>
        <n v="41.09"/>
        <n v="41.13"/>
        <n v="41.14"/>
        <n v="33.42"/>
        <n v="34.25"/>
        <n v="33.44"/>
        <n v="33.41"/>
        <n v="34.34"/>
        <n v="34.31"/>
        <n v="41.99"/>
        <n v="41.98"/>
        <n v="36.55"/>
        <n v="39.11"/>
        <n v="38.46"/>
        <n v="37.9"/>
        <n v="38.38"/>
        <n v="42.08"/>
        <n v="41.9"/>
        <n v="41.1"/>
        <n v="39.84"/>
        <n v="40.36"/>
        <n v="39.71"/>
        <n v="39.81"/>
        <n v="39.37"/>
        <n v="36.91"/>
        <n v="37.0"/>
        <n v="37.24"/>
        <n v="37.09"/>
        <n v="39.35"/>
        <n v="40.0"/>
        <n v="42.07"/>
        <n v="35.26"/>
        <n v="35.24"/>
        <n v="35.2"/>
        <n v="34.39"/>
        <n v="34.15"/>
        <n v="34.19"/>
        <n v="34.3"/>
        <n v="33.45"/>
        <n v="34.83"/>
        <n v="34.42"/>
        <n v="35.0"/>
        <n v="34.74"/>
        <n v="34.59"/>
        <n v="34.61"/>
        <n v="34.62"/>
        <n v="34.48"/>
        <n v="34.69"/>
        <n v="33.93"/>
        <n v="40.34"/>
        <n v="40.32"/>
        <n v="40.3"/>
        <n v="40.35"/>
        <n v="37.19"/>
        <n v="37.17"/>
        <n v="37.02"/>
        <n v="37.37"/>
        <n v="40.39"/>
        <n v="42.87"/>
        <n v="42.92"/>
        <n v="42.96"/>
        <n v="42.66"/>
        <n v="42.69"/>
        <n v="42.74"/>
        <n v="42.76"/>
        <n v="42.67"/>
        <n v="42.61"/>
        <n v="42.7"/>
        <n v="42.68"/>
        <n v="42.73"/>
        <n v="42.82"/>
        <n v="42.75"/>
        <n v="42.8"/>
        <n v="42.94"/>
        <n v="42.95"/>
        <n v="43.79"/>
        <n v="43.81"/>
      </sharedItems>
    </cacheField>
    <cacheField name="Unit Cost Of Sales" numFmtId="2">
      <sharedItems containsSemiMixedTypes="0" containsString="0" containsNumber="1">
        <n v="33.701423758605536"/>
        <n v="33.12323262839879"/>
        <n v="32.85523525018671"/>
        <n v="32.855251821862346"/>
        <n v="33.10256743355811"/>
        <n v="33.1206282998944"/>
        <n v="33.14324402606807"/>
        <n v="33.17591765453006"/>
        <n v="33.212844740269134"/>
        <n v="33.23811705685619"/>
        <n v="33.180265906932576"/>
        <n v="33.28638718794159"/>
        <n v="33.32084477542472"/>
        <n v="33.30692060085837"/>
        <n v="33.2995874146631"/>
        <n v="33.26097103918228"/>
        <n v="33.46848088184637"/>
        <n v="33.46063026896828"/>
        <n v="33.44338205645161"/>
        <n v="33.446030047803326"/>
        <n v="33.44773897058823"/>
        <n v="33.47897666803111"/>
        <n v="33.50603487490523"/>
        <n v="33.54300469483568"/>
        <n v="33.58119123931624"/>
        <n v="33.54478527607362"/>
        <n v="33.59073063380281"/>
        <n v="33.628676834295135"/>
        <n v="33.7161832782239"/>
        <n v="33.71890243902439"/>
        <n v="33.70285714285714"/>
        <n v="33.69864693446089"/>
        <n v="33.65000248138958"/>
        <n v="33.641726998491706"/>
        <n v="33.574253012048196"/>
        <n v="33.52556191839656"/>
        <n v="33.73491467576792"/>
        <n v="33.84430950728661"/>
        <n v="33.6783322324967"/>
        <n v="33.7709166307626"/>
        <n v="33.86615795419534"/>
        <n v="33.997288013451836"/>
        <n v="34.013330404217925"/>
        <n v="33.51489932885906"/>
        <n v="33.13348620210443"/>
        <n v="33.11280347499413"/>
        <n v="33.09121279260187"/>
        <n v="33.00155224144017"/>
        <n v="33.14685728131815"/>
        <n v="32.88602064960206"/>
        <n v="32.860012292563"/>
        <n v="32.83646449253276"/>
        <n v="32.8720303030303"/>
        <n v="32.859599061416034"/>
        <n v="32.75858780188293"/>
        <n v="32.963138173302106"/>
        <n v="32.75825621042377"/>
        <n v="32.801852385757535"/>
        <n v="32.912336313815985"/>
        <n v="33.02072279371955"/>
        <n v="33.00441192021149"/>
        <n v="33.02088564937524"/>
        <n v="33.0281558251133"/>
        <n v="33.02340322198531"/>
        <n v="33.029423843089184"/>
        <n v="33.08683129100136"/>
        <n v="33.14978115141956"/>
        <n v="33.24682839667376"/>
        <n v="33.29842331816504"/>
        <n v="33.30339036213288"/>
        <n v="33.323207568293775"/>
        <n v="33.37964789959909"/>
        <n v="33.39885143147552"/>
        <n v="33.420721914556964"/>
        <n v="33.43189857812114"/>
        <n v="33.459591760065116"/>
        <n v="33.46600172215844"/>
        <n v="33.466002135041364"/>
        <n v="33.45828961950499"/>
        <n v="33.468274554417896"/>
        <n v="33.47141192464556"/>
        <n v="33.481977332170885"/>
        <n v="33.468660858995136"/>
        <n v="33.48058911632551"/>
        <n v="33.449698665518724"/>
        <n v="33.33183935112506"/>
        <n v="33.3538188761593"/>
        <n v="33.35777025119955"/>
        <n v="33.40109471094711"/>
        <n v="33.4902861760791"/>
        <n v="33.50562095595909"/>
        <n v="33.507540748701416"/>
        <n v="33.50114325646401"/>
        <n v="33.52262732240437"/>
        <n v="33.65600950713035"/>
        <n v="33.77875134940626"/>
        <n v="33.78809018987342"/>
        <n v="33.900873223092546"/>
        <n v="33.934727555786196"/>
        <n v="33.97342663523865"/>
        <n v="34.03443727196183"/>
        <n v="34.066635687732344"/>
        <n v="34.08780215188551"/>
        <n v="34.10908355555556"/>
        <n v="34.08053306613226"/>
        <n v="34.11567469879518"/>
        <n v="34.14120981726024"/>
        <n v="34.18233193515474"/>
        <n v="34.18968528803224"/>
        <n v="34.19602152080344"/>
        <n v="34.193231921583134"/>
        <n v="34.176386701662295"/>
        <n v="34.2190897807199"/>
        <n v="34.21821735159817"/>
        <n v="34.235789810958025"/>
        <n v="34.24616589533642"/>
        <n v="34.24236031392761"/>
        <n v="34.25016201729809"/>
        <n v="34.254498886414254"/>
        <n v="34.26064597315436"/>
        <n v="34.254074074074076"/>
        <n v="34.25292178262847"/>
        <n v="34.281157298985164"/>
        <n v="34.33761842392491"/>
        <n v="34.514995942656206"/>
        <n v="34.67127554882664"/>
        <n v="34.70518389346861"/>
        <n v="34.8053880866426"/>
        <n v="34.79909226746358"/>
        <n v="34.92218412225121"/>
        <n v="34.931061320754715"/>
        <n v="34.96571621824741"/>
        <n v="34.97615745990604"/>
        <n v="34.996550504157085"/>
        <n v="35.019584721296916"/>
        <n v="34.87905965136734"/>
        <n v="34.47488106565176"/>
        <n v="34.11775194995753"/>
        <n v="33.963591694609235"/>
        <n v="33.91881540556312"/>
        <n v="33.796711590296496"/>
        <n v="33.828499099099105"/>
        <n v="33.68380065897858"/>
        <n v="33.619210757088574"/>
        <n v="33.56800582785415"/>
        <n v="33.46294345173241"/>
        <n v="33.44068615384615"/>
        <n v="33.41344786729858"/>
        <n v="33.389792111633206"/>
        <n v="33.37238290011875"/>
        <n v="33.36210452853598"/>
        <n v="33.36004924218201"/>
        <n v="33.35602609853529"/>
        <n v="33.353818720045105"/>
        <n v="33.355159173204584"/>
        <n v="33.34770517460628"/>
        <n v="33.34486410601976"/>
        <n v="33.343401348780915"/>
        <n v="33.338540810660746"/>
        <n v="33.33651775486827"/>
        <n v="33.3368742753023"/>
        <n v="33.33664598153474"/>
        <n v="33.33699504865972"/>
        <n v="33.33553140541536"/>
        <n v="33.337243260590505"/>
        <n v="33.334284538909834"/>
        <n v="33.37641844693116"/>
        <n v="33.407814332713485"/>
        <n v="33.40364892881824"/>
        <n v="33.384145054282264"/>
        <n v="33.38969228094576"/>
        <n v="33.41084963666853"/>
        <n v="33.55950972381108"/>
        <n v="33.5852799870151"/>
        <n v="33.71669489414695"/>
        <n v="33.68159448342608"/>
        <n v="33.71447946513849"/>
        <n v="33.68223610243598"/>
        <n v="33.723768844221105"/>
        <n v="33.86603617983506"/>
        <n v="33.79969558964525"/>
        <n v="33.90737584650113"/>
        <n v="33.792806886227545"/>
        <n v="33.80185105969279"/>
        <n v="33.98519397993311"/>
        <n v="34.09339707536558"/>
        <n v="34.091914969632015"/>
        <n v="34.09705812220567"/>
        <n v="34.09202797202798"/>
        <n v="34.057386883579056"/>
        <n v="34.05730446024564"/>
        <n v="34.045605995717345"/>
        <n v="34.12094676549865"/>
        <n v="34.152486274509805"/>
        <n v="34.12936816096011"/>
        <n v="34.087603946441156"/>
        <n v="34.12061831706183"/>
        <n v="34.12877382465057"/>
        <n v="34.122559585492226"/>
        <n v="34.1763589076723"/>
        <n v="34.189536125948834"/>
        <n v="34.172324649298595"/>
        <n v="34.19296128500824"/>
        <n v="34.19930101010101"/>
        <n v="34.16483930778739"/>
        <n v="34.023768115942026"/>
        <n v="33.86474899230487"/>
        <n v="33.85923570484997"/>
        <n v="33.827510234676815"/>
        <n v="33.78067625198002"/>
        <n v="33.76673098247949"/>
        <n v="33.75337049480758"/>
        <n v="33.743661094723045"/>
        <n v="33.731049626701804"/>
        <n v="33.727742619388344"/>
        <n v="33.72781469252992"/>
        <n v="33.72743692600021"/>
        <n v="33.71940465532677"/>
        <n v="33.71762328513162"/>
        <n v="33.71673469387755"/>
        <n v="33.718096369189006"/>
        <n v="33.710649830158026"/>
        <n v="33.70995789640928"/>
        <n v="33.70879144562334"/>
        <n v="33.68741687622241"/>
        <n v="33.67527033941668"/>
        <n v="33.6694238345371"/>
        <n v="33.67138195077484"/>
        <n v="33.69845890176184"/>
        <n v="33.738066043389665"/>
        <n v="33.76736043360434"/>
        <n v="33.76558367243133"/>
        <n v="33.803108682452944"/>
        <n v="33.920244612696564"/>
        <n v="33.93661728896104"/>
        <n v="33.95579184720134"/>
        <n v="34.02997649305811"/>
        <n v="33.989383561643834"/>
        <n v="34.0559780891183"/>
        <n v="34.106905105656914"/>
        <n v="34.160374901784714"/>
        <n v="34.18673452380953"/>
        <n v="34.21534399751514"/>
        <n v="34.22517760617761"/>
        <n v="34.22313326464022"/>
        <n v="34.22756325518951"/>
        <n v="34.234536655549014"/>
        <n v="34.250366887417215"/>
        <n v="34.25591499409681"/>
        <n v="34.25914714898835"/>
        <n v="34.26020850708924"/>
        <n v="34.26356824146982"/>
        <n v="34.25903493340036"/>
        <n v="34.276605766485865"/>
        <n v="34.2997507788162"/>
        <n v="34.349658922392486"/>
        <n v="34.40738802451674"/>
        <n v="34.41179351152826"/>
        <n v="34.433875152006486"/>
        <n v="34.40968531468531"/>
        <n v="34.42249263157895"/>
        <n v="34.42846555819477"/>
        <n v="34.45024217961655"/>
        <n v="34.55348914431673"/>
        <n v="34.537107004334935"/>
        <n v="34.528332561371"/>
        <n v="34.58859567901234"/>
        <n v="34.642192173083046"/>
        <n v="34.62197460120799"/>
        <n v="34.69227103904339"/>
        <n v="34.70730372588157"/>
        <n v="34.75893095651259"/>
        <n v="34.80515033725849"/>
        <n v="34.84877500920584"/>
        <n v="34.86982964842334"/>
        <n v="34.877608837970534"/>
        <n v="34.894299800041374"/>
        <n v="34.901749655948954"/>
        <n v="34.905370123127135"/>
        <n v="34.90669099756691"/>
        <n v="34.90620260816996"/>
        <n v="34.90920075223319"/>
        <n v="34.91522620904836"/>
        <n v="34.911334994660024"/>
        <n v="34.912610918012675"/>
        <n v="34.91014369345397"/>
        <n v="34.914111980734496"/>
        <n v="34.91200423728814"/>
        <n v="35.012639915522705"/>
        <n v="35.0615642615558"/>
        <n v="35.15548050945581"/>
        <n v="35.51466443972062"/>
        <n v="35.67402949468662"/>
        <n v="35.620425445705024"/>
        <n v="35.65481788676524"/>
        <n v="35.67465719360568"/>
        <n v="35.731847463902255"/>
        <n v="35.74645039607695"/>
        <n v="35.68222091137001"/>
        <n v="35.65640320038792"/>
        <n v="35.619426042261566"/>
        <n v="35.61710306406685"/>
        <n v="35.7564887063655"/>
        <n v="35.89271953405018"/>
        <n v="35.98161222339305"/>
        <n v="35.99729336566013"/>
        <n v="36.05331352154532"/>
        <n v="36.06893016344725"/>
        <n v="36.06544346891238"/>
        <n v="36.105375148868596"/>
        <n v="36.74757444504602"/>
        <n v="36.58990472065829"/>
        <n v="36.6843632455669"/>
        <n v="36.71528116213683"/>
        <n v="36.58249491869919"/>
        <n v="36.69028273809524"/>
        <n v="36.73805611222445"/>
        <n v="36.750296803652965"/>
        <n v="36.83302864938609"/>
        <n v="36.89631024096386"/>
        <n v="36.8384589754269"/>
        <n v="36.64145265245414"/>
        <n v="36.751758815846756"/>
        <n v="36.73174774774775"/>
        <n v="36.72312161115415"/>
        <n v="36.76571638501102"/>
        <n v="36.840359094457455"/>
        <n v="36.701506238859174"/>
        <n v="36.49023066485753"/>
        <n v="36.68648985959439"/>
        <n v="36.8535020661157"/>
        <n v="36.74873060648801"/>
        <n v="37.18146590909091"/>
        <n v="37.0917700729927"/>
        <n v="38.6268085106383"/>
        <n v="39.23279157894737"/>
        <n v="39.02784510433387"/>
        <n v="39.41632718894009"/>
        <n v="39.0442432735426"/>
        <n v="39.84139619883041"/>
        <n v="40.55344305120167"/>
        <n v="41.16834794156706"/>
        <n v="41.262441002949856"/>
        <n v="40.9908505850585"/>
        <n v="41.38326706072004"/>
        <n v="41.354949938949936"/>
        <n v="41.30213856146259"/>
        <n v="41.498293153326905"/>
        <n v="41.6992624818728"/>
        <n v="41.52144214162349"/>
        <n v="41.47795123280207"/>
        <n v="41.68317780872795"/>
        <n v="41.69146701164295"/>
        <n v="41.87514561270802"/>
        <n v="41.943262848340574"/>
        <n v="41.89384373488147"/>
        <n v="41.98293327460912"/>
        <n v="41.920404866374156"/>
        <n v="41.99371817948059"/>
        <n v="41.994164620204934"/>
        <n v="42.023262559808614"/>
        <n v="41.94043627031651"/>
        <n v="41.99684603886398"/>
        <n v="42.0290518783542"/>
        <n v="42.015285758418294"/>
        <n v="42.0409773497414"/>
        <n v="42.05551035502958"/>
        <n v="42.055225473321855"/>
        <n v="42.00761355546062"/>
        <n v="42.02397268874588"/>
        <n v="42.04745891003461"/>
        <n v="41.977965716284764"/>
        <n v="41.94026354941552"/>
        <n v="41.94496534653465"/>
        <n v="42.00647751605996"/>
        <n v="42.03595079787234"/>
        <n v="42.05616905248807"/>
        <n v="42.04222485207101"/>
        <n v="42.01532555879494"/>
        <n v="42.025745222929935"/>
        <n v="41.98019363762102"/>
        <n v="41.82079646017699"/>
        <n v="41.893356296500414"/>
        <n v="41.879109555984556"/>
        <n v="41.8754435261708"/>
        <n v="41.62218821379626"/>
        <n v="41.723194444444445"/>
        <n v="42.06169836065573"/>
        <n v="42.049597772277224"/>
        <n v="42.06329252062816"/>
        <n v="42.044726329442284"/>
        <n v="42.063806009488665"/>
        <n v="42.066408071748874"/>
        <n v="42.039818181818184"/>
        <n v="42.057855670103095"/>
        <n v="42.04842672413793"/>
        <n v="41.98945532435741"/>
        <n v="41.91993829699712"/>
        <n v="41.9333637454982"/>
        <n v="41.831370420624154"/>
        <n v="41.80514723678903"/>
        <n v="41.51241396508728"/>
        <n v="41.36122994652407"/>
        <n v="41.19390489913545"/>
        <n v="41.065899727944036"/>
        <n v="41.17600338218715"/>
        <n v="40.8317661900757"/>
        <n v="40.39239869458798"/>
        <n v="40.39586648057688"/>
        <n v="40.216750136091456"/>
        <n v="40.23641031036297"/>
        <n v="40.184037554507434"/>
        <n v="40.152722900480946"/>
        <n v="40.15108108108108"/>
        <n v="40.047815782386216"/>
        <n v="39.98580093676815"/>
        <n v="39.93313561536451"/>
        <n v="39.927976833976835"/>
        <n v="39.9085243593354"/>
        <n v="39.916884700665186"/>
        <n v="39.87486976744186"/>
        <n v="39.86858498023716"/>
        <n v="39.88193222920236"/>
        <n v="39.87174298729322"/>
        <n v="39.847638548308"/>
        <n v="40.34322719449226"/>
        <n v="40.654012935469645"/>
        <n v="40.622057547018166"/>
        <n v="40.65373317198608"/>
        <n v="40.74610697062692"/>
        <n v="40.84448159668222"/>
        <n v="40.87612514029181"/>
        <n v="40.88131044665928"/>
        <n v="40.9287963587323"/>
        <n v="40.889139258222535"/>
        <n v="40.89187747035573"/>
        <n v="40.86455988455988"/>
        <n v="40.8933704974271"/>
        <n v="40.89770066596565"/>
        <n v="40.900691823899365"/>
        <n v="40.95829552421827"/>
        <n v="40.89907605921388"/>
        <n v="40.90159349593496"/>
        <n v="40.91545685279188"/>
        <n v="40.93449523809524"/>
        <n v="40.99162345941351"/>
        <n v="41.00077706141839"/>
        <n v="41.05558425584256"/>
        <n v="41.05870951417004"/>
        <n v="41.17607185990338"/>
        <n v="41.19851282816229"/>
        <n v="41.19814875761066"/>
        <n v="41.17458448753463"/>
        <n v="41.15939331746162"/>
        <n v="41.15880242546741"/>
        <n v="41.15307570977918"/>
        <n v="41.07726462159006"/>
        <n v="41.075478155523584"/>
        <n v="41.060529678918456"/>
        <n v="41.03975560986447"/>
        <n v="41.02572924528302"/>
        <n v="41.02922027290448"/>
        <n v="41.02672249793218"/>
        <n v="41.02809337626495"/>
        <n v="41.03595675234598"/>
        <n v="41.029542447629545"/>
        <n v="41.03031407942238"/>
        <n v="41.029873046875004"/>
        <n v="41.028645294725955"/>
        <n v="40.961045071817736"/>
        <n v="40.79693564862104"/>
        <n v="40.75101573676681"/>
        <n v="40.75783806343907"/>
        <n v="40.80843058350101"/>
        <n v="40.84033102143758"/>
        <n v="40.89062124248497"/>
        <n v="40.8109010989011"/>
        <n v="40.77765705838876"/>
        <n v="40.78625472521082"/>
        <n v="40.75735704323571"/>
        <n v="40.754678362573095"/>
        <n v="40.72626369446135"/>
        <n v="40.73465340799382"/>
        <n v="40.69674910251296"/>
        <n v="40.68153160453809"/>
        <n v="40.67648155339806"/>
        <n v="40.6821560184258"/>
        <n v="40.67457215737806"/>
        <n v="40.66896946877302"/>
        <n v="40.660623419134055"/>
        <n v="40.654666183749846"/>
        <n v="40.65594734291714"/>
        <n v="40.65444873300889"/>
        <n v="40.64925912921348"/>
        <n v="40.64529492455418"/>
        <n v="40.64547778100494"/>
        <n v="40.644682539682535"/>
        <n v="40.64607761080464"/>
        <n v="40.648528722157096"/>
        <n v="40.639811791383224"/>
        <n v="40.642765688259104"/>
        <n v="40.63986810789369"/>
        <n v="40.639339657059466"/>
        <n v="40.64144408945687"/>
        <n v="40.636078770413064"/>
        <n v="40.639376030786146"/>
        <n v="40.639094219390074"/>
        <n v="40.63780815109344"/>
        <n v="40.63893033075299"/>
        <n v="40.63953496755588"/>
        <n v="40.6369213633326"/>
        <n v="40.64367770419426"/>
        <n v="40.643526405451446"/>
        <n v="40.64017976135131"/>
        <n v="40.63837435008666"/>
        <n v="40.63845446549932"/>
        <n v="40.639045250431785"/>
        <n v="40.63756027964046"/>
        <n v="40.63717744695414"/>
        <n v="40.63734965587273"/>
        <n v="40.63963486289871"/>
        <n v="40.636218550506946"/>
        <n v="40.63509453376206"/>
        <n v="40.63692274446245"/>
        <n v="40.63652585119798"/>
        <n v="40.62995790279373"/>
        <n v="40.55343715846994"/>
        <n v="40.536829988193624"/>
        <n v="40.52324604141291"/>
        <n v="40.494102981029805"/>
        <n v="40.496678019981836"/>
        <n v="40.49187751004016"/>
        <n v="40.47311498453753"/>
        <n v="40.42175365344468"/>
        <n v="40.39590094339623"/>
        <n v="40.359349333333334"/>
        <n v="40.28961789099526"/>
        <n v="40.29995281847529"/>
        <n v="40.31100093984962"/>
        <n v="40.28701368523949"/>
        <n v="40.213311772315656"/>
        <n v="40.19435506732814"/>
        <n v="40.15739568345324"/>
        <n v="40.14694556213018"/>
        <n v="40.12466427840327"/>
        <n v="40.10889499389499"/>
        <n v="40.10743671607754"/>
        <n v="40.10643859960903"/>
        <n v="40.10002968093001"/>
        <n v="40.07560325350203"/>
        <n v="40.060950168918914"/>
        <n v="40.055604973696795"/>
        <n v="40.03102267245538"/>
        <n v="40.03237991740926"/>
        <n v="40.02215418870025"/>
        <n v="40.01369914853359"/>
        <n v="40.018402893711745"/>
        <n v="40.02647574334898"/>
        <n v="40.034650904033384"/>
        <n v="40.0293387866394"/>
        <n v="40.180161490683226"/>
        <n v="40.175914307574594"/>
        <n v="39.8684243902439"/>
        <n v="39.89325581395349"/>
        <n v="39.95755700325733"/>
        <n v="39.883633353401564"/>
        <n v="40.13906659939455"/>
        <n v="39.934258533855626"/>
        <n v="40.00638678223185"/>
        <n v="39.81509632224168"/>
        <n v="39.9790369088812"/>
        <n v="40.02093586989874"/>
        <n v="40.18404255319149"/>
        <n v="40.34576576576577"/>
        <n v="40.25102140945584"/>
        <n v="40.090963364993215"/>
        <n v="40.200238957277335"/>
        <n v="40.10172171468728"/>
        <n v="40.074029411764705"/>
        <n v="40.13024477880081"/>
        <n v="40.22527015057573"/>
        <n v="40.07453230472517"/>
        <n v="40.068634778276035"/>
        <n v="40.0535318275154"/>
        <n v="40.05114984391259"/>
        <n v="40.06080310880829"/>
        <n v="40.05945395513577"/>
        <n v="40.11249485596708"/>
        <n v="40.1025"/>
        <n v="40.011829814459375"/>
        <n v="40.008172502134926"/>
        <n v="40.013932367149756"/>
        <n v="40.008406764574985"/>
        <n v="39.929713168187746"/>
        <n v="39.97275991425509"/>
        <n v="39.9439349112426"/>
        <n v="39.95875271149675"/>
        <n v="39.90743377483444"/>
        <n v="39.513483670295486"/>
        <n v="39.228295114656035"/>
        <n v="39.115805005603285"/>
        <n v="39.22903203817314"/>
        <n v="39.12659031413612"/>
        <n v="38.83266194968554"/>
        <n v="38.21932420659614"/>
        <n v="37.87946816479401"/>
        <n v="37.668428949691084"/>
        <n v="37.42051245921092"/>
        <n v="37.2318941315745"/>
        <n v="37.23591091451497"/>
        <n v="37.14147641467531"/>
        <n v="37.00417442090675"/>
        <n v="36.954380196523054"/>
        <n v="36.87194645732689"/>
        <n v="36.843775251338904"/>
        <n v="36.801633333333335"/>
        <n v="36.822404361132364"/>
        <n v="36.817513812154694"/>
        <n v="36.82361040285569"/>
        <n v="36.78290584415584"/>
        <n v="37.17404284412033"/>
        <n v="36.991756296800546"/>
        <n v="37.109396863691195"/>
        <n v="37.36343867569602"/>
        <n v="37.38613076923077"/>
        <n v="37.005769728331174"/>
        <n v="36.95294736842106"/>
        <n v="36.969789173789174"/>
        <n v="36.92614382785957"/>
        <n v="36.76201298701299"/>
        <n v="36.908772241992885"/>
        <n v="37.06153130287648"/>
        <n v="37.20371543624161"/>
        <n v="37.334118432769365"/>
        <n v="37.49236718041704"/>
        <n v="37.76848309270517"/>
        <n v="37.87620837589377"/>
        <n v="37.862073426573424"/>
        <n v="37.99650652985074"/>
        <n v="38.010408542246985"/>
        <n v="38.06761707418151"/>
        <n v="38.13496938254805"/>
        <n v="38.166226680485636"/>
        <n v="38.18575677896467"/>
        <n v="38.16242863615768"/>
        <n v="38.16923749246534"/>
        <n v="38.1891738594328"/>
        <n v="38.185502645502645"/>
        <n v="38.18821550918717"/>
        <n v="38.19680276588739"/>
        <n v="38.198887362637365"/>
        <n v="38.17952901023891"/>
        <n v="38.193605108055"/>
        <n v="38.19556074766355"/>
        <n v="38.17182756079587"/>
        <n v="38.19643416370106"/>
        <n v="38.184379639448565"/>
        <n v="38.1921292023731"/>
        <n v="38.19649749821301"/>
        <n v="38.178209934395504"/>
        <n v="38.20709772226304"/>
        <n v="38.180190274841436"/>
        <n v="38.184650932169774"/>
        <n v="38.18532741559954"/>
        <n v="38.19616842759478"/>
        <n v="38.283172990737974"/>
        <n v="38.45609065155807"/>
        <n v="38.547899382171224"/>
        <n v="38.48631073970907"/>
        <n v="38.497954986418314"/>
        <n v="38.55694564047363"/>
        <n v="38.60814720471913"/>
        <n v="38.53406096227447"/>
        <n v="38.596388409134526"/>
        <n v="38.4889199092654"/>
        <n v="38.417994071146246"/>
        <n v="38.42982308485057"/>
        <n v="38.42934268185802"/>
        <n v="38.52645604395604"/>
        <n v="38.472754491017966"/>
        <n v="38.41436698717949"/>
        <n v="38.34573055028463"/>
        <n v="38.370362500000006"/>
        <n v="38.348718149745196"/>
        <n v="38.351771752251835"/>
        <n v="38.44961274203622"/>
        <n v="38.40049583498612"/>
        <n v="38.375257945647164"/>
        <n v="38.410975725844835"/>
        <n v="38.380537219946994"/>
        <n v="38.39910587136688"/>
        <n v="38.44285779139712"/>
        <n v="38.573222094361334"/>
        <n v="38.39741352607124"/>
        <n v="38.43560759493671"/>
        <n v="38.42495233968804"/>
        <n v="38.320270678313385"/>
        <n v="38.31622012969708"/>
        <n v="38.32057915354482"/>
        <n v="38.39383387028996"/>
        <n v="38.2569244240873"/>
        <n v="38.2443885469628"/>
        <n v="38.23804138321995"/>
        <n v="38.225818213538034"/>
        <n v="38.22189975658332"/>
        <n v="38.22157399646083"/>
        <n v="38.23095186194369"/>
        <n v="38.216373976342126"/>
        <n v="38.13178056426332"/>
        <n v="38.13399318300996"/>
        <n v="38.15121329639889"/>
        <n v="38.16798137144692"/>
        <n v="38.168230736573975"/>
        <n v="38.171200638213"/>
        <n v="38.14868504772004"/>
        <n v="38.17181905988409"/>
        <n v="38.1919377372817"/>
        <n v="38.17457610312345"/>
        <n v="38.17478064516129"/>
        <n v="38.16893150684931"/>
        <n v="38.20674806024646"/>
        <n v="38.163124694973156"/>
        <n v="38.16987701681146"/>
        <n v="38.197768595041325"/>
        <n v="38.19666561844864"/>
        <n v="38.19519656019656"/>
        <n v="38.19000993541977"/>
        <n v="38.18917257683215"/>
        <n v="38.18824675324675"/>
        <n v="38.192105836236934"/>
        <n v="38.19348359966359"/>
        <n v="38.196604791711636"/>
        <n v="38.20329663416169"/>
        <n v="38.19706511565717"/>
        <n v="38.199605879846615"/>
        <n v="38.19663904118322"/>
        <n v="38.15318536585366"/>
        <n v="38.15516867971678"/>
        <n v="38.15755530973451"/>
        <n v="38.17335389360061"/>
        <n v="38.16843921808186"/>
        <n v="38.19632532850022"/>
        <n v="38.165625635808745"/>
        <n v="38.15743483657427"/>
        <n v="38.175401459854015"/>
        <n v="38.15306204136091"/>
        <n v="38.17020285087719"/>
        <n v="38.17224634565778"/>
        <n v="38.19635435168739"/>
        <n v="38.167738650827324"/>
        <n v="38.1651778425656"/>
        <n v="38.18072445561139"/>
        <n v="38.018587223587225"/>
        <n v="37.704705354855236"/>
        <n v="37.57796634093377"/>
        <n v="37.57888071707653"/>
        <n v="37.37202930869704"/>
        <n v="37.03798064085447"/>
        <n v="36.98806544293695"/>
        <n v="36.805844836624146"/>
        <n v="36.73940588235294"/>
        <n v="36.6159797979798"/>
        <n v="36.57658084291188"/>
        <n v="36.55837584950261"/>
        <n v="36.42750492853622"/>
        <n v="36.35791882780083"/>
        <n v="36.35566765063379"/>
        <n v="36.342259762130304"/>
        <n v="36.336202029520294"/>
        <n v="36.36093928080173"/>
        <n v="36.36813537046164"/>
        <n v="36.37714076960546"/>
        <n v="36.37236164383562"/>
        <n v="36.387763934426225"/>
        <n v="36.58483625070582"/>
        <n v="36.672102314250914"/>
        <n v="36.47492836676218"/>
        <n v="36.9623231292517"/>
        <n v="37.082699619771866"/>
        <n v="36.988635460366524"/>
        <n v="37.08864294330519"/>
        <n v="37.346097370476436"/>
        <n v="37.30518358531317"/>
        <n v="37.459051126516464"/>
        <n v="37.45597633136095"/>
        <n v="37.71852421214451"/>
        <n v="36.93540894713059"/>
        <n v="36.92041326067211"/>
        <n v="37.102984802431614"/>
        <n v="37.44567480834373"/>
        <n v="37.64157300115875"/>
        <n v="37.54861592505855"/>
        <n v="38.77142191142191"/>
        <n v="39.188649741631096"/>
        <n v="39.227684304399524"/>
        <n v="39.301339699863576"/>
        <n v="39.438804319876574"/>
        <n v="39.49642933049947"/>
        <n v="39.570698544698544"/>
        <n v="39.53258084971465"/>
        <n v="39.34100766703176"/>
        <n v="39.35896860986547"/>
        <n v="39.38095956873315"/>
        <n v="39.51651027938851"/>
        <n v="39.59550396375991"/>
        <n v="39.5593370681606"/>
        <n v="39.59322727272727"/>
        <n v="39.61430290872618"/>
        <n v="39.52611995104039"/>
        <n v="39.52130760986066"/>
        <n v="39.552948891904116"/>
        <n v="39.590115030674845"/>
        <n v="39.53424321959755"/>
        <n v="39.43031150667514"/>
        <n v="39.45415496368039"/>
        <n v="39.35920765027322"/>
        <n v="39.314994692144374"/>
        <n v="39.345556909578356"/>
        <n v="39.3462278308322"/>
        <n v="39.325800185013875"/>
        <n v="39.255322505800464"/>
        <n v="39.19105956471935"/>
        <n v="38.99524479459764"/>
        <n v="39.05740687679083"/>
        <n v="39.064999049248904"/>
        <n v="39.06096892886345"/>
        <n v="39.073300448430494"/>
        <n v="39.0476123046875"/>
        <n v="38.98696085955488"/>
        <n v="38.88332880126898"/>
        <n v="38.881582599412866"/>
        <n v="38.53249159989661"/>
        <n v="38.407471264367814"/>
        <n v="38.25015082143819"/>
        <n v="37.875273972602734"/>
        <n v="37.603016411997736"/>
        <n v="37.43222125624864"/>
        <n v="37.15284320557491"/>
        <n v="37.129193635093"/>
        <n v="37.444940145361265"/>
        <n v="37.22141825803446"/>
        <n v="37.084381586245144"/>
        <n v="37.00300537412154"/>
        <n v="37.135754985754986"/>
        <n v="37.01413574836887"/>
        <n v="36.97453519525858"/>
        <n v="37.11556574362736"/>
        <n v="37.06661692892023"/>
        <n v="36.83714894653514"/>
        <n v="36.803650620779784"/>
        <n v="36.815449468085106"/>
        <n v="36.725100968395765"/>
        <n v="36.79808736790366"/>
        <n v="36.629876780901036"/>
        <n v="36.75558568329718"/>
        <n v="36.68536881954801"/>
        <n v="36.52642276422764"/>
        <n v="36.52804535017222"/>
        <n v="36.534746816404294"/>
        <n v="36.49077004312242"/>
        <n v="36.50738586156112"/>
        <n v="36.568549715009496"/>
        <n v="36.52853346456693"/>
        <n v="36.5309375"/>
        <n v="36.4299227202473"/>
        <n v="36.39552687038989"/>
        <n v="36.42325854156043"/>
        <n v="36.44766339869281"/>
        <n v="36.44682041216879"/>
        <n v="36.44124731182796"/>
        <n v="36.533410757946214"/>
        <n v="36.5310885805763"/>
        <n v="36.45786272806255"/>
        <n v="36.470380871773166"/>
        <n v="36.46912005457026"/>
        <n v="36.46498783454988"/>
        <n v="36.41895161290322"/>
        <n v="36.38725243506494"/>
        <n v="36.37814923427826"/>
        <n v="36.37988516566265"/>
        <n v="36.38257981018119"/>
        <n v="36.378137271354255"/>
        <n v="36.393781695721074"/>
        <n v="36.38106868204721"/>
        <n v="36.42074714245888"/>
        <n v="36.39756650246305"/>
        <n v="36.373364537444935"/>
        <n v="36.369275967934506"/>
        <n v="36.358944564674545"/>
        <n v="36.379893924783026"/>
        <n v="36.36462686567164"/>
        <n v="36.36782371458552"/>
        <n v="36.37527953453074"/>
        <n v="36.370289290681505"/>
        <n v="36.35927713652793"/>
        <n v="36.35472229267056"/>
        <n v="36.40425411383868"/>
        <n v="36.402475442043226"/>
        <n v="36.37589512306987"/>
        <n v="36.37077230822752"/>
        <n v="36.36156952583911"/>
        <n v="36.35952507767421"/>
        <n v="36.38368050117463"/>
        <n v="36.35682450573591"/>
        <n v="36.344545454545454"/>
        <n v="36.26346274921301"/>
        <n v="36.15784668989547"/>
        <n v="36.202329647724355"/>
        <n v="36.171270209526575"/>
        <n v="36.20683933142599"/>
        <n v="36.14198340576847"/>
        <n v="36.14193108040619"/>
        <n v="36.09516312056738"/>
        <n v="36.06392124498939"/>
        <n v="36.09468697713329"/>
        <n v="36.0413711514439"/>
        <n v="36.02905496624879"/>
        <n v="36.06363183489503"/>
        <n v="36.038672647103546"/>
        <n v="36.03195965890456"/>
        <n v="36.033204353083434"/>
        <n v="36.012793053545586"/>
        <n v="36.00608230892571"/>
        <n v="36.03760042283298"/>
        <n v="35.99192660550458"/>
        <n v="36.04375570776256"/>
        <n v="36.06212658227848"/>
        <n v="36.0356846473029"/>
        <n v="36.01470680628272"/>
        <n v="36.035242718446604"/>
        <n v="36.00167903525046"/>
        <n v="36.04138549307253"/>
        <n v="36.04088888888889"/>
        <n v="36.03089566929134"/>
        <n v="36.04464114832536"/>
        <n v="36.02781980742778"/>
        <n v="36.02933514986376"/>
        <n v="36.027890946502055"/>
        <n v="36.022822265625"/>
        <n v="36.01978927203066"/>
        <n v="36.12423960273122"/>
        <n v="36.09775526742301"/>
        <n v="36.14336032388664"/>
        <n v="36.11569916188795"/>
        <n v="36.14515901060071"/>
        <n v="36.14086563307493"/>
        <n v="36.110512209648604"/>
        <n v="36.12046875"/>
        <n v="36.13384196185286"/>
        <n v="36.303831615120274"/>
        <n v="36.176805882352944"/>
        <n v="36.185300699300704"/>
        <n v="36.22089186176142"/>
        <n v="36.257953615279675"/>
        <n v="36.22971275105091"/>
        <n v="36.2144053017091"/>
        <n v="36.234672804998354"/>
        <n v="36.244810191738516"/>
        <n v="36.242038590604025"/>
        <n v="36.26159819315982"/>
        <n v="36.26834039975772"/>
        <n v="36.283467194570136"/>
        <n v="36.271381334981456"/>
        <n v="36.275975022569966"/>
        <n v="36.30819667590028"/>
        <n v="36.31486356745832"/>
        <n v="36.315403050108934"/>
        <n v="36.376222222222225"/>
        <n v="35.98180332488025"/>
        <n v="36.17115841733113"/>
        <n v="36.21036031489705"/>
        <n v="36.2508957952468"/>
        <n v="36.2550099844686"/>
        <n v="36.2754944349315"/>
        <n v="36.26399592252804"/>
        <n v="36.220359930615786"/>
        <n v="36.26602199716868"/>
        <n v="36.24128162511542"/>
        <n v="36.28171296296296"/>
        <n v="36.30719562019938"/>
        <n v="36.28864472700075"/>
        <n v="36.31529763221951"/>
        <n v="36.34344941956882"/>
        <n v="36.3378814382896"/>
        <n v="36.31305685967658"/>
        <n v="36.33389468690702"/>
        <n v="36.345359207266725"/>
        <n v="36.316142525174286"/>
        <n v="36.28952317880795"/>
        <n v="36.171358267716535"/>
        <n v="36.10372277227723"/>
        <n v="36.090703981534915"/>
        <n v="36.088803384367445"/>
        <n v="36.108340080971665"/>
        <n v="36.06964502164502"/>
        <n v="36.203351063829786"/>
        <n v="36.12587429492345"/>
        <n v="36.15541867179981"/>
        <n v="36.08545802570413"/>
        <n v="36.05592336349122"/>
        <n v="36.0370061213133"/>
        <n v="36.013776181926985"/>
        <n v="36.12365253077975"/>
        <n v="36.15974699557242"/>
        <n v="35.976127770534546"/>
        <n v="35.82458491461101"/>
        <n v="35.762933238636364"/>
        <n v="35.72233217774976"/>
        <n v="35.736254237288136"/>
        <n v="35.666178556529"/>
        <n v="35.63960613810741"/>
        <n v="35.61856896551724"/>
        <n v="35.59127297794117"/>
        <n v="35.57128777923784"/>
        <n v="35.51964953271028"/>
        <n v="35.61661124307205"/>
        <n v="35.58626116071429"/>
        <n v="36.22088541666667"/>
        <n v="37.81975047984645"/>
        <n v="38.362639060568604"/>
        <n v="38.831774569166285"/>
        <n v="39.476621722846446"/>
        <n v="38.86256756756757"/>
        <n v="39.08660377358491"/>
        <n v="38.40189281641961"/>
        <n v="38.673366445916116"/>
        <n v="38.59950200088928"/>
        <n v="38.806642394822006"/>
        <n v="39.05509375"/>
        <n v="38.667765957446804"/>
        <n v="38.45621818181818"/>
        <n v="38.2419018404908"/>
        <n v="38.34680986475736"/>
        <n v="38.52711018711019"/>
        <n v="38.64385455786958"/>
        <n v="38.70652338811631"/>
        <n v="38.02083587553386"/>
        <n v="37.25975765735443"/>
        <n v="37.74250437828371"/>
        <n v="39.458702559576345"/>
        <n v="39.78557389537836"/>
        <n v="40.1259936440678"/>
        <n v="40.303575088687424"/>
        <n v="40.4343685616177"/>
        <n v="40.44958564715933"/>
        <n v="40.54795370857444"/>
        <n v="40.546968787515006"/>
        <n v="40.70315368196372"/>
        <n v="40.66176164454853"/>
        <n v="40.82096010521701"/>
        <n v="40.600327468230695"/>
        <n v="40.39624025676295"/>
        <n v="40.51552467385139"/>
      </sharedItems>
    </cacheField>
    <cacheField name="Cost Of Sales" numFmtId="0">
      <sharedItems containsSemiMixedTypes="0" containsString="0" containsNumber="1">
        <n v="230079.62"/>
        <n v="306986.12"/>
        <n v="87986.32"/>
        <n v="202881.18"/>
        <n v="333806.29"/>
        <n v="313652.35"/>
        <n v="183083.28"/>
        <n v="313446.07"/>
        <n v="229533.97"/>
        <n v="99381.97"/>
        <n v="104816.46"/>
        <n v="141334.0"/>
        <n v="143179.67"/>
        <n v="93126.15"/>
        <n v="112186.31"/>
        <n v="78096.76"/>
        <n v="97159.0"/>
        <n v="83350.43"/>
        <n v="132703.34"/>
        <n v="146928.41"/>
        <n v="72782.28"/>
        <n v="81789.14"/>
        <n v="88388.92"/>
        <n v="57157.28"/>
        <n v="62863.99"/>
        <n v="114823.8"/>
        <n v="152636.28"/>
        <n v="81583.17"/>
        <n v="71377.16"/>
        <n v="49769.1"/>
        <n v="66529.44"/>
        <n v="63757.84"/>
        <n v="135609.51"/>
        <n v="178435.72"/>
        <n v="111466.52"/>
        <n v="140505.63"/>
        <n v="128496.29"/>
        <n v="195078.6"/>
        <n v="101977.99"/>
        <n v="313529.19"/>
        <n v="329754.78"/>
        <n v="141530.71"/>
        <n v="154828.68"/>
        <n v="139824.16"/>
        <n v="166893.37"/>
        <n v="141027.43"/>
        <n v="343519.88"/>
        <n v="373973.59"/>
        <n v="136797.08"/>
        <n v="152887.11"/>
        <n v="53463.24"/>
        <n v="107736.44"/>
        <n v="75934.39"/>
        <n v="322089.79"/>
        <n v="320116.92"/>
        <n v="140752.6"/>
        <n v="134505.4"/>
        <n v="227546.45"/>
        <n v="228214.14"/>
        <n v="365935.65"/>
        <n v="686656.79"/>
        <n v="872081.59"/>
        <n v="495554.45"/>
        <n v="557567.14"/>
        <n v="323325.03"/>
        <n v="267308.51"/>
        <n v="168135.69"/>
        <n v="483774.6"/>
        <n v="541498.96"/>
        <n v="233589.98"/>
        <n v="297642.89"/>
        <n v="191499.04"/>
        <n v="197153.42"/>
        <n v="168975.17"/>
        <n v="406765.91"/>
        <n v="534383.14"/>
        <n v="233191.1"/>
        <n v="250794.22"/>
        <n v="90571.59"/>
        <n v="88255.84"/>
        <n v="172344.3"/>
        <n v="192019.14"/>
        <n v="165201.31"/>
        <n v="67061.62"/>
        <n v="77703.65"/>
        <n v="127394.29"/>
        <n v="122275.1"/>
        <n v="118186.58"/>
        <n v="271550.9"/>
        <n v="352250.83"/>
        <n v="160525.43"/>
        <n v="187072.6"/>
        <n v="239700.68"/>
        <n v="153366.02"/>
        <n v="134523.07"/>
        <n v="187742.3"/>
        <n v="213540.73"/>
        <n v="116856.31"/>
        <n v="130784.44"/>
        <n v="115305.81"/>
        <n v="121264.7"/>
        <n v="183278.5"/>
        <n v="326322.53"/>
        <n v="383727.19"/>
        <n v="170061.86"/>
        <n v="198212.07"/>
        <n v="255956.65"/>
        <n v="301522.35"/>
        <n v="627927.76"/>
        <n v="476692.54"/>
        <n v="369765.61"/>
        <n v="117190.83"/>
        <n v="165415.08"/>
        <n v="187344.74"/>
        <n v="106849.9"/>
        <n v="96197.48"/>
        <n v="292327.03"/>
        <n v="281159.58"/>
        <n v="123042.16"/>
        <n v="122516.07"/>
        <n v="130405.26"/>
        <n v="150644.35"/>
        <n v="175656.65"/>
        <n v="157300.63"/>
        <n v="127601.94"/>
        <n v="91601.51"/>
        <n v="109460.15"/>
        <n v="115693.11"/>
        <n v="93157.17"/>
        <n v="93696.22"/>
        <n v="325836.94"/>
        <n v="465253.82"/>
        <n v="215907.82"/>
        <n v="197835.5"/>
        <n v="157693.19"/>
        <n v="218098.76"/>
        <n v="289864.8"/>
        <n v="441790.77"/>
        <n v="526707.38"/>
        <n v="174376.63"/>
        <n v="175540.12"/>
        <n v="187748.17"/>
        <n v="204460.67"/>
        <n v="115011.32"/>
        <n v="449274.19"/>
        <n v="614245.79"/>
        <n v="217364.46"/>
        <n v="225607.6"/>
        <n v="234496.51"/>
        <n v="252929.29"/>
        <n v="215118.85"/>
        <n v="521651.09"/>
        <n v="626259.39"/>
        <n v="473223.98"/>
        <n v="442155.99"/>
        <n v="340913.59"/>
        <n v="296902.67"/>
        <n v="192824.89"/>
        <n v="300213.56"/>
        <n v="407438.92"/>
        <n v="201254.71"/>
        <n v="220255.22"/>
        <n v="195254.78"/>
        <n v="180978.6"/>
        <n v="207757.7"/>
        <n v="486180.54"/>
        <n v="492135.29"/>
        <n v="233554.03"/>
        <n v="193340.32"/>
        <n v="221403.65"/>
        <n v="192057.51"/>
        <n v="119544.02"/>
        <n v="205350.64"/>
        <n v="206918.91"/>
        <n v="135372.53"/>
        <n v="139206.03"/>
        <n v="35299.06"/>
        <n v="53925.26"/>
        <n v="53688.24"/>
        <n v="127302.43"/>
        <n v="141012.33"/>
        <n v="60083.87"/>
        <n v="90294.38"/>
        <n v="173842.92"/>
        <n v="101615.73"/>
        <n v="90927.09"/>
        <n v="95423.27"/>
        <n v="114395.63"/>
        <n v="68252.24"/>
        <n v="66990.88"/>
        <n v="105373.3"/>
        <n v="79496.49"/>
        <n v="101270.97"/>
        <n v="130633.26"/>
        <n v="96688.5"/>
        <n v="48370.31"/>
        <n v="73393.45"/>
        <n v="107437.38"/>
        <n v="164641.35"/>
        <n v="78844.86"/>
        <n v="121612.18"/>
        <n v="255779.85"/>
        <n v="83020.51"/>
        <n v="84643.27"/>
        <n v="55278.71"/>
        <n v="173725.36"/>
        <n v="92416.9"/>
        <n v="538260.27"/>
        <n v="586670.51"/>
        <n v="277238.01"/>
        <n v="304508.38"/>
        <n v="221017.07"/>
        <n v="205903.82"/>
        <n v="307222.4"/>
        <n v="636341.32"/>
        <n v="653779.96"/>
        <n v="319500.01"/>
        <n v="376645.75"/>
        <n v="272809.29"/>
        <n v="77649.64"/>
        <n v="99367.23"/>
        <n v="456509.62"/>
        <n v="424340.95"/>
        <n v="203331.43"/>
        <n v="241134.53"/>
        <n v="197438.11"/>
        <n v="205114.13"/>
        <n v="184687.53"/>
        <n v="491559.42"/>
        <n v="562953.37"/>
        <n v="249203.12"/>
        <n v="265532.55"/>
        <n v="167021.16"/>
        <n v="174723.18"/>
        <n v="167239.65"/>
        <n v="384006.05"/>
        <n v="463250.07"/>
        <n v="218347.8"/>
        <n v="323293.4"/>
        <n v="259860.51"/>
        <n v="304334.78"/>
        <n v="287168.57"/>
        <n v="660937.8"/>
        <n v="797788.89"/>
        <n v="398562.61"/>
        <n v="662850.99"/>
        <n v="523480.3"/>
        <n v="517180.54"/>
        <n v="348177.12"/>
        <n v="558766.69"/>
        <n v="616169.85"/>
        <n v="261088.39"/>
        <n v="272633.4"/>
        <n v="120070.95"/>
        <n v="77071.54"/>
        <n v="69489.36"/>
        <n v="145956.14"/>
        <n v="168652.2"/>
        <n v="84948.37"/>
        <n v="118094.04"/>
        <n v="81753.42"/>
        <n v="72471.92"/>
        <n v="68280.38"/>
        <n v="135276.91"/>
        <n v="151376.14"/>
        <n v="74546.67"/>
        <n v="89653.64"/>
        <n v="108880.41"/>
        <n v="223554.09"/>
        <n v="382967.98"/>
        <n v="625980.93"/>
        <n v="661010.59"/>
        <n v="304440.65"/>
        <n v="283912.97"/>
        <n v="384823.44"/>
        <n v="639306.57"/>
        <n v="506072.03"/>
        <n v="557939.37"/>
        <n v="705891.3"/>
        <n v="301279.65"/>
        <n v="404178.92"/>
        <n v="74251.87"/>
        <n v="67141.98"/>
        <n v="98065.94"/>
        <n v="170757.58"/>
        <n v="131192.32"/>
        <n v="57992.34"/>
        <n v="82392.33"/>
        <n v="66313.94"/>
        <n v="124398.43"/>
        <n v="91087.85"/>
        <n v="116949.79"/>
        <n v="164492.95"/>
        <n v="87911.21"/>
        <n v="98870.81"/>
        <n v="100424.16"/>
        <n v="96511.72"/>
        <n v="94763.84"/>
        <n v="241961.14"/>
        <n v="294129.67"/>
        <n v="124739.23"/>
        <n v="140651.94"/>
        <n v="87067.05"/>
        <n v="80112.55"/>
        <n v="68293.1"/>
        <n v="163319.72"/>
        <n v="242638.8"/>
        <n v="145646.34"/>
        <n v="201281.24"/>
        <n v="90949.44"/>
        <n v="67872.77"/>
        <n v="84486.09"/>
        <n v="136539.2"/>
        <n v="156700.82"/>
        <n v="71994.35"/>
        <n v="73967.61"/>
        <n v="54996.87"/>
        <n v="48289.89"/>
        <n v="53997.22"/>
        <n v="146994.9"/>
        <n v="176898.28"/>
        <n v="73905.81"/>
        <n v="84418.79"/>
        <n v="61158.36"/>
        <n v="47409.55"/>
        <n v="50038.14"/>
        <n v="47192.5"/>
        <n v="41179.09"/>
        <n v="26893.3"/>
        <n v="23516.04"/>
        <n v="35674.19"/>
        <n v="26054.85"/>
        <n v="32719.69"/>
        <n v="40652.58"/>
        <n v="79880.24"/>
        <n v="93177.88"/>
        <n v="97257.39"/>
        <n v="85533.43"/>
        <n v="69654.93"/>
        <n v="54503.03"/>
        <n v="77619.29"/>
        <n v="154998.83"/>
        <n v="111903.74"/>
        <n v="91081.67"/>
        <n v="77014.26"/>
        <n v="169348.52"/>
        <n v="171692.99"/>
        <n v="301236.11"/>
        <n v="402564.68"/>
        <n v="192327.32"/>
        <n v="304489.64"/>
        <n v="179571.13"/>
        <n v="161137.52"/>
        <n v="221435.77"/>
        <n v="299516.84"/>
        <n v="346378.3"/>
        <n v="190644.5"/>
        <n v="210188.91"/>
        <n v="326627.14"/>
        <n v="495909.09"/>
        <n v="140525.79"/>
        <n v="49028.37"/>
        <n v="112383.56"/>
        <n v="70482.72"/>
        <n v="136003.48"/>
        <n v="235723.76"/>
        <n v="398013.35"/>
        <n v="122170.43"/>
        <n v="295019.47"/>
        <n v="267734.73"/>
        <n v="194427.45"/>
        <n v="239988.03"/>
        <n v="197328.94"/>
        <n v="84728.83"/>
        <n v="78468.1"/>
        <n v="126444.14"/>
        <n v="123392.8"/>
        <n v="71051.36"/>
        <n v="86467.54"/>
        <n v="65980.42"/>
        <n v="60703.36"/>
        <n v="80337.75"/>
        <n v="152030.99"/>
        <n v="173547.03"/>
        <n v="76003.93"/>
        <n v="91110.97"/>
        <n v="99134.31"/>
        <n v="64144.09"/>
        <n v="67952.15"/>
        <n v="158031.79"/>
        <n v="162082.42"/>
        <n v="79795.04"/>
        <n v="93808.09"/>
        <n v="78614.46"/>
        <n v="61194.18"/>
        <n v="58531.41"/>
        <n v="137221.54"/>
        <n v="203814.74"/>
        <n v="174652.46"/>
        <n v="154148.6"/>
        <n v="103634.96"/>
        <n v="83232.39"/>
        <n v="46407.3"/>
        <n v="85765.71"/>
        <n v="105662.56"/>
        <n v="73046.23"/>
        <n v="97097.94"/>
        <n v="148522.85"/>
        <n v="173661.83"/>
        <n v="147756.34"/>
        <n v="382447.08"/>
        <n v="451548.03"/>
        <n v="217065.62"/>
        <n v="234723.22"/>
        <n v="148697.54"/>
        <n v="170739.37"/>
        <n v="152824.11"/>
        <n v="310240.38"/>
        <n v="283430.34"/>
        <n v="144020.12"/>
        <n v="85730.97"/>
        <n v="100867.52"/>
        <n v="209499.79"/>
        <n v="166305.04"/>
        <n v="324997.34"/>
        <n v="375030.64"/>
        <n v="276569.25"/>
        <n v="252709.82"/>
        <n v="268761.83"/>
        <n v="278825.61"/>
        <n v="157578.01"/>
        <n v="291365.02"/>
        <n v="332242.41"/>
        <n v="121394.81"/>
        <n v="116861.16"/>
        <n v="62073.87"/>
        <n v="56638.28"/>
        <n v="47681.67"/>
        <n v="116681.14"/>
        <n v="149573.83"/>
        <n v="66802.98"/>
        <n v="80121.29"/>
        <n v="50308.96"/>
        <n v="48362.07"/>
        <n v="42981.22"/>
        <n v="96453.29"/>
        <n v="120829.29"/>
        <n v="66756.38"/>
        <n v="81132.01"/>
        <n v="136375.15"/>
        <n v="276194.83"/>
        <n v="250361.15"/>
        <n v="386464.65"/>
        <n v="501362.57"/>
        <n v="244359.81"/>
        <n v="234819.45"/>
        <n v="386988.91"/>
        <n v="542483.84"/>
        <n v="777522.19"/>
        <n v="554159.82"/>
        <n v="434872.73"/>
        <n v="147335.93"/>
        <n v="198405.23"/>
        <n v="178390.15"/>
        <n v="100579.13"/>
        <n v="74427.59"/>
        <n v="113653.97"/>
        <n v="126043.77"/>
        <n v="79349.4"/>
        <n v="82700.35"/>
        <n v="39940.2"/>
        <n v="56969.92"/>
        <n v="48827.89"/>
        <n v="101408.95"/>
        <n v="129545.53"/>
        <n v="61213.26"/>
        <n v="55706.88"/>
        <n v="55172.17"/>
        <n v="140263.93"/>
        <n v="58446.05"/>
        <n v="362390.6"/>
        <n v="535306.01"/>
        <n v="210964.77"/>
        <n v="204053.5"/>
        <n v="200804.04"/>
        <n v="209483.88"/>
        <n v="406252.01"/>
        <n v="526206.94"/>
        <n v="496852.8"/>
        <n v="273280.05"/>
        <n v="336742.6"/>
        <n v="251700.97"/>
        <n v="242259.86"/>
        <n v="115769.09"/>
        <n v="355565.04"/>
        <n v="419827.14"/>
        <n v="179243.05"/>
        <n v="213676.43"/>
        <n v="208039.17"/>
        <n v="179221.57"/>
        <n v="160620.21"/>
        <n v="409812.43"/>
        <n v="445569.72"/>
        <n v="190811.58"/>
        <n v="211510.79"/>
        <n v="147846.05"/>
        <n v="178568.18"/>
        <n v="81763.27"/>
        <n v="346487.52"/>
        <n v="450936.28"/>
        <n v="182419.14"/>
        <n v="276173.79"/>
        <n v="214719.75"/>
        <n v="262251.08"/>
        <n v="234483.42"/>
        <n v="508265.15"/>
        <n v="588250.18"/>
        <n v="284828.66"/>
        <n v="474967.33"/>
        <n v="360168.83"/>
        <n v="290492.11"/>
        <n v="216428.5"/>
        <n v="315937.86"/>
        <n v="376094.72"/>
        <n v="193348.59"/>
        <n v="106166.08"/>
        <n v="74212.79"/>
        <n v="68669.39"/>
        <n v="66539.17"/>
        <n v="149423.24"/>
        <n v="178347.37"/>
        <n v="80659.82"/>
        <n v="143962.87"/>
        <n v="96810.1"/>
        <n v="85639.31"/>
        <n v="75673.78"/>
        <n v="136017.75"/>
        <n v="162287.91"/>
        <n v="85781.81"/>
        <n v="82427.23"/>
        <n v="62169.78"/>
        <n v="113428.47"/>
        <n v="195365.73"/>
        <n v="339241.69"/>
        <n v="392017.97"/>
        <n v="197095.11"/>
        <n v="175871.11"/>
        <n v="225678.93"/>
        <n v="324248.84"/>
        <n v="266061.93"/>
        <n v="284592.99"/>
        <n v="335025.08"/>
        <n v="165968.62"/>
        <n v="184188.98"/>
        <n v="143799.6"/>
        <n v="84588.96"/>
        <n v="71913.07"/>
        <n v="127884.59"/>
        <n v="143924.57"/>
        <n v="58723.04"/>
        <n v="64690.06"/>
        <n v="52509.92"/>
        <n v="81730.27"/>
        <n v="73762.63"/>
        <n v="122669.7"/>
        <n v="132493.43"/>
        <n v="79555.63"/>
        <n v="71362.52"/>
        <n v="73851.79"/>
        <n v="45468.84"/>
        <n v="69323.65"/>
        <n v="130428.23"/>
        <n v="143537.4"/>
        <n v="85089.22"/>
        <n v="90242.79"/>
        <n v="59094.08"/>
        <n v="55516.53"/>
        <n v="57064.75"/>
        <n v="149876.87"/>
        <n v="178699.98"/>
        <n v="90828.66"/>
        <n v="83114.58"/>
        <n v="80417.75"/>
        <n v="78024.28"/>
        <n v="76978.31"/>
        <n v="123707.76"/>
        <n v="135721.43"/>
        <n v="77978.69"/>
        <n v="72665.73"/>
        <n v="62538.49"/>
        <n v="46849.57"/>
        <n v="41414.42"/>
        <n v="89898.89"/>
        <n v="122504.36"/>
        <n v="74589.17"/>
        <n v="67505.25"/>
        <n v="36841.97"/>
        <n v="24104.09"/>
        <n v="25407.17"/>
        <n v="78691.96"/>
        <n v="104713.01"/>
        <n v="57548.99"/>
        <n v="59785.43"/>
        <n v="246975.73"/>
        <n v="307092.27"/>
        <n v="252845.45"/>
        <n v="426783.3"/>
        <n v="504578.19"/>
        <n v="220152.19"/>
        <n v="361970.29"/>
        <n v="418101.6"/>
        <n v="373816.17"/>
        <n v="293343.87"/>
        <n v="366359.66"/>
        <n v="392128.3"/>
        <n v="176647.84"/>
        <n v="192507.53"/>
        <n v="66639.7"/>
        <n v="72211.1"/>
        <n v="45316.54"/>
        <n v="81559.85"/>
        <n v="54340.89"/>
        <n v="30763.69"/>
        <n v="49656.01"/>
        <n v="48601.97"/>
        <n v="28605.46"/>
        <n v="28084.24"/>
        <n v="64881.98"/>
        <n v="65211.57"/>
        <n v="39629.45"/>
        <n v="41485.46"/>
        <n v="43806.73"/>
        <n v="138583.84"/>
        <n v="167704.86"/>
        <n v="413540.81"/>
        <n v="397626.59"/>
        <n v="185404.04"/>
        <n v="216571.06"/>
        <n v="162929.02"/>
        <n v="368434.89"/>
        <n v="459285.8"/>
        <n v="448390.97"/>
        <n v="515549.39"/>
        <n v="232360.33"/>
        <n v="336897.92"/>
        <n v="253291.06"/>
        <n v="61942.84"/>
        <n v="57736.48"/>
        <n v="122622.36"/>
        <n v="116003.69"/>
        <n v="55617.58"/>
        <n v="55933.01"/>
        <n v="38881.09"/>
        <n v="40869.25"/>
        <n v="51799.17"/>
        <n v="107331.98"/>
        <n v="108023.61"/>
        <n v="57937.46"/>
        <n v="53436.9"/>
        <n v="40736.15"/>
        <n v="51999.86"/>
        <n v="54177.69"/>
        <n v="192527.01"/>
        <n v="262409.57"/>
        <n v="122915.27"/>
        <n v="128133.78"/>
        <n v="122175.0"/>
        <n v="174699.08"/>
        <n v="124349.27"/>
        <n v="297627.69"/>
        <n v="429832.83"/>
        <n v="287978.17"/>
        <n v="281915.19"/>
        <n v="201125.78"/>
        <n v="220580.0"/>
        <n v="116637.03"/>
        <n v="223738.43"/>
        <n v="306935.16"/>
        <n v="140236.3"/>
        <n v="89949.3"/>
        <n v="143823.39"/>
        <n v="161665.6"/>
        <n v="153481.45"/>
        <n v="391310.32"/>
        <n v="413010.23"/>
        <n v="184673.49"/>
        <n v="193615.3"/>
        <n v="166625.37"/>
        <n v="161402.92"/>
        <n v="159317.61"/>
        <n v="328965.14"/>
        <n v="338720.02"/>
        <n v="167600.65"/>
        <n v="74375.79"/>
        <n v="121456.52"/>
        <n v="266054.37"/>
        <n v="355343.87"/>
        <n v="431325.69"/>
        <n v="498895.62"/>
        <n v="274093.58"/>
        <n v="283981.15"/>
        <n v="285838.56"/>
        <n v="269807.62"/>
        <n v="219110.39"/>
        <n v="345449.53"/>
        <n v="410385.04"/>
        <n v="210461.39"/>
        <n v="83999.59"/>
        <n v="121640.38"/>
        <n v="145443.05"/>
        <n v="137725.88"/>
        <n v="237672.02"/>
        <n v="359621.07"/>
        <n v="191390.4"/>
        <n v="179871.05"/>
        <n v="237123.34"/>
        <n v="251493.91"/>
        <n v="230994.36"/>
        <n v="295854.55"/>
        <n v="362223.16"/>
        <n v="167421.97"/>
        <n v="312784.97"/>
        <n v="338299.62"/>
        <n v="249584.22"/>
        <n v="364396.19"/>
        <n v="124363.56"/>
        <n v="76876.49"/>
        <n v="64616.08"/>
        <n v="123500.79"/>
        <n v="175378.15"/>
        <n v="227060.26"/>
        <n v="353929.74"/>
        <n v="121448.28"/>
        <n v="285675.85"/>
        <n v="179308.95"/>
        <n v="299576.24"/>
        <n v="234642.09"/>
        <n v="91610.56"/>
        <n v="68988.86"/>
        <n v="99021.68"/>
        <n v="124963.47"/>
        <n v="84299.29"/>
        <n v="112550.43"/>
        <n v="92226.52"/>
        <n v="62760.36"/>
        <n v="57191.44"/>
        <n v="139244.9"/>
        <n v="177577.29"/>
        <n v="86018.19"/>
        <n v="89961.36"/>
        <n v="65453.28"/>
        <n v="182351.14"/>
        <n v="61894.26"/>
        <n v="294322.93"/>
        <n v="346093.07"/>
        <n v="163505.71"/>
        <n v="234621.6"/>
        <n v="221931.58"/>
        <n v="231730.23"/>
        <n v="210639.85"/>
        <n v="437198.93"/>
        <n v="561872.21"/>
        <n v="238662.19"/>
        <n v="371177.19"/>
        <n v="295645.63"/>
        <n v="280392.27"/>
        <n v="209372.29"/>
        <n v="345287.81"/>
        <n v="393884.43"/>
        <n v="185040.82"/>
        <n v="221372.84"/>
        <n v="74682.27"/>
        <n v="66379.56"/>
        <n v="55491.34"/>
        <n v="129583.49"/>
        <n v="150538.98"/>
        <n v="76378.5"/>
        <n v="108669.23"/>
        <n v="68269.25"/>
        <n v="167521.53"/>
        <n v="61492.97"/>
        <n v="143446.36"/>
        <n v="345446.0"/>
        <n v="86455.49"/>
        <n v="75960.72"/>
        <n v="49071.8"/>
        <n v="81738.06"/>
        <n v="162597.5"/>
        <n v="183103.23"/>
        <n v="210032.79"/>
        <n v="129938.71"/>
        <n v="160332.59"/>
        <n v="182962.34"/>
        <n v="174428.68"/>
        <n v="131961.93"/>
        <n v="144039.41"/>
        <n v="153377.51"/>
        <n v="74332.28"/>
        <n v="95167.53"/>
        <n v="62342.88"/>
        <n v="35918.34"/>
        <n v="35108.2"/>
        <n v="73051.68"/>
        <n v="74962.82"/>
        <n v="34962.83"/>
        <n v="42368.05"/>
        <n v="52263.06"/>
        <n v="39495.46"/>
        <n v="32292.84"/>
        <n v="73746.76"/>
        <n v="87451.57"/>
        <n v="51625.51"/>
        <n v="45187.64"/>
        <n v="62023.88"/>
        <n v="81472.83"/>
        <n v="259298.46"/>
        <n v="222208.35"/>
        <n v="161434.82"/>
        <n v="57681.57"/>
        <n v="85022.38"/>
        <n v="84595.22"/>
        <n v="68427.59"/>
        <n v="138589.1"/>
        <n v="245358.63"/>
        <n v="205442.83"/>
        <n v="95543.13"/>
        <n v="130700.19"/>
        <n v="79969.51"/>
        <n v="50800.01"/>
        <n v="171592.13"/>
        <n v="291378.58"/>
        <n v="298164.42"/>
        <n v="113609.3"/>
        <n v="142022.81"/>
        <n v="132714.96"/>
        <n v="132889.06"/>
        <n v="172225.65"/>
        <n v="373200.31"/>
        <n v="345338.63"/>
        <n v="175167.43"/>
        <n v="159828.77"/>
        <n v="133726.28"/>
        <n v="179020.54"/>
        <n v="182485.1"/>
        <n v="380098.16"/>
        <n v="455415.35"/>
        <n v="202391.18"/>
        <n v="273255.1"/>
        <n v="302469.83"/>
        <n v="337931.12"/>
        <n v="276852.18"/>
        <n v="489215.07"/>
        <n v="598925.67"/>
        <n v="380511.16"/>
        <n v="304997.85"/>
        <n v="319786.36"/>
        <n v="305507.0"/>
        <n v="254527.42"/>
        <n v="364361.03"/>
        <n v="414644.62"/>
        <n v="148731.09"/>
        <n v="57741.74"/>
        <n v="37112.99"/>
        <n v="30393.74"/>
        <n v="23570.16"/>
        <n v="69078.71"/>
        <n v="71426.01"/>
        <n v="44611.94"/>
        <n v="37139.31"/>
        <n v="33890.36"/>
        <n v="29884.33"/>
        <n v="34229.63"/>
        <n v="83926.0"/>
        <n v="86179.51"/>
        <n v="53463.73"/>
        <n v="59948.44"/>
        <n v="117414.7"/>
        <n v="268974.57"/>
        <n v="223289.08"/>
        <n v="386499.9"/>
        <n v="421674.1"/>
        <n v="216777.32"/>
        <n v="183715.81"/>
        <n v="274386.02"/>
        <n v="391923.66"/>
        <n v="295548.24"/>
        <n v="396324.18"/>
        <n v="426466.13"/>
        <n v="218408.18"/>
        <n v="188629.75"/>
        <n v="60910.75"/>
        <n v="173292.68"/>
        <n v="143791.48"/>
        <n v="261502.38"/>
        <n v="311853.52"/>
        <n v="143346.67"/>
        <n v="134950.57"/>
        <n v="111173.16"/>
        <n v="237934.73"/>
        <n v="209095.57"/>
        <n v="341253.33"/>
        <n v="327672.04"/>
        <n v="139385.88"/>
        <n v="148953.91"/>
        <n v="127533.01"/>
        <n v="34559.08"/>
        <n v="155659.53"/>
        <n v="422372.58"/>
        <n v="498910.33"/>
        <n v="240449.62"/>
        <n v="274426.08"/>
        <n v="217104.58"/>
        <n v="229023.81"/>
        <n v="305894.18"/>
        <n v="517742.19"/>
        <n v="490487.02"/>
        <n v="261534.91"/>
        <n v="304052.48"/>
        <n v="237026.35"/>
        <n v="219722.89"/>
        <n v="59598.92"/>
        <n v="74654.52"/>
        <n v="67367.38"/>
        <n v="34091.57"/>
        <n v="39231.2"/>
        <n v="31574.33"/>
        <n v="28489.08"/>
        <n v="26053.8"/>
        <n v="68788.09"/>
        <n v="81655.86"/>
        <n v="38809.81"/>
        <n v="44222.78"/>
        <n v="32436.8"/>
        <n v="36607.39"/>
        <n v="30133.32"/>
        <n v="52384.45"/>
        <n v="66113.83"/>
        <n v="35019.11"/>
        <n v="36887.37"/>
        <n v="37604.66"/>
        <n v="58196.15"/>
        <n v="44544.63"/>
        <n v="80346.69"/>
        <n v="81874.29"/>
        <n v="51145.4"/>
        <n v="55946.06"/>
        <n v="60629.55"/>
        <n v="41610.78"/>
        <n v="39783.36"/>
        <n v="63386.49"/>
        <n v="61500.57"/>
        <n v="25872.49"/>
        <n v="32490.14"/>
        <n v="26577.08"/>
        <n v="155135.63"/>
        <n v="103826.7"/>
        <n v="220379.28"/>
        <n v="281658.42"/>
        <n v="129601.53"/>
        <n v="168580.17"/>
        <n v="119758.06"/>
        <n v="128298.34"/>
        <n v="117374.19"/>
        <n v="241090.13"/>
        <n v="262145.18"/>
        <n v="143734.23"/>
        <n v="133350.16"/>
        <n v="37649.39"/>
        <n v="127699.42"/>
        <n v="240429.69"/>
        <n v="358772.25"/>
        <n v="376755.56"/>
        <n v="163401.33"/>
        <n v="169479.11"/>
        <n v="142299.92"/>
        <n v="250572.45"/>
        <n v="333030.88"/>
        <n v="392493.08"/>
        <n v="391842.5"/>
        <n v="222163.73"/>
        <n v="242589.59"/>
        <n v="164108.83"/>
        <n v="43830.2"/>
        <n v="37391.68"/>
        <n v="69612.13"/>
        <n v="76591.85"/>
        <n v="44014.23"/>
        <n v="46884.14"/>
        <n v="27398.59"/>
        <n v="18375.05"/>
        <n v="36464.76"/>
        <n v="62545.19"/>
        <n v="89572.41"/>
        <n v="44593.8"/>
        <n v="41660.44"/>
        <n v="34031.15"/>
        <n v="44832.21"/>
        <n v="37565.48"/>
        <n v="131964.52"/>
        <n v="135498.16"/>
        <n v="64758.5"/>
        <n v="60179.02"/>
        <n v="52812.78"/>
        <n v="57168.56"/>
        <n v="55187.38"/>
        <n v="151036.45"/>
        <n v="201416.84"/>
        <n v="113346.96"/>
        <n v="126506.34"/>
        <n v="85491.83"/>
        <n v="69675.43"/>
        <n v="61976.31"/>
        <n v="77446.61"/>
        <n v="81209.25"/>
        <n v="45607.23"/>
        <n v="44983.78"/>
        <n v="31885.29"/>
        <n v="27817.64"/>
        <n v="19704.09"/>
        <n v="62070.75"/>
        <n v="83371.82"/>
        <n v="52701.29"/>
        <n v="51764.94"/>
        <n v="37288.62"/>
        <n v="33678.46"/>
        <n v="35038.07"/>
        <n v="86810.28"/>
        <n v="95930.02"/>
        <n v="49990.52"/>
        <n v="36347.7"/>
        <n v="63452.76"/>
        <n v="56100.87"/>
        <n v="48201.94"/>
        <n v="92657.7"/>
        <n v="113187.85"/>
        <n v="61233.72"/>
        <n v="62316.15"/>
        <n v="110698.74"/>
        <n v="86203.88"/>
        <n v="89413.42"/>
        <n v="156675.59"/>
        <n v="189394.69"/>
        <n v="102250.17"/>
        <n v="105978.48"/>
        <n v="94692.48"/>
        <n v="77081.66"/>
        <n v="67551.25"/>
        <n v="152555.42"/>
        <n v="156263.15"/>
        <n v="93112.61"/>
        <n v="83068.27"/>
        <n v="88104.2"/>
        <n v="71428.87"/>
      </sharedItems>
    </cacheField>
    <cacheField name="Daily Gross Profit" numFmtId="0">
      <sharedItems containsSemiMixedTypes="0" containsString="0" containsNumber="1">
        <n v="-6141.65"/>
        <n v="-6640.64"/>
        <n v="-1203.85"/>
        <n v="-2708.06"/>
        <n v="-6900.22"/>
        <n v="-6608.41"/>
        <n v="-3894.4"/>
        <n v="-7094.12"/>
        <n v="-5513.56"/>
        <n v="2454.43"/>
        <n v="2987.85"/>
        <n v="3495.96"/>
        <n v="3391.81"/>
        <n v="2296.23"/>
        <n v="2696.87"/>
        <n v="1994.04"/>
        <n v="1786.37"/>
        <n v="1554.47"/>
        <n v="2757.28"/>
        <n v="2997.34"/>
        <n v="1515.02"/>
        <n v="1567.29"/>
        <n v="1533.1"/>
        <n v="649.02"/>
        <n v="1113.76"/>
        <n v="2135.0"/>
        <n v="2636.55"/>
        <n v="1302.05"/>
        <n v="976.27"/>
        <n v="646.81"/>
        <n v="928.86"/>
        <n v="882.53"/>
        <n v="2084.37"/>
        <n v="2773.41"/>
        <n v="1967.06"/>
        <n v="2686.9"/>
        <n v="1630.36"/>
        <n v="-7922.73"/>
        <n v="336.72"/>
        <n v="-11975.35"/>
        <n v="-13681.6"/>
        <n v="-6352.67"/>
        <n v="-7101.17"/>
        <n v="-4325.42"/>
        <n v="-3460.52"/>
        <n v="-2735.8"/>
        <n v="-6618.5"/>
        <n v="-6244.33"/>
        <n v="-2883.24"/>
        <n v="-2086.76"/>
        <n v="2128.69"/>
        <n v="-1309.25"/>
        <n v="3006.16"/>
        <n v="-4173.47"/>
        <n v="-10899.05"/>
        <n v="-2261.05"/>
        <n v="-1359.18"/>
        <n v="-2551.79"/>
        <n v="-3162.55"/>
        <n v="-21635.97"/>
        <n v="-24780.29"/>
        <n v="-25403.2"/>
        <n v="-16652.15"/>
        <n v="-18739.93"/>
        <n v="-12978.91"/>
        <n v="-10917.98"/>
        <n v="-332.03"/>
        <n v="-18456.58"/>
        <n v="-21352.21"/>
        <n v="-8890.73"/>
        <n v="-11412.21"/>
        <n v="-4356.02"/>
        <n v="-5453.03"/>
        <n v="-4311.21"/>
        <n v="-10824.57"/>
        <n v="-16199.93"/>
        <n v="-6573.15"/>
        <n v="-7086.35"/>
        <n v="4278.15"/>
        <n v="4130.94"/>
        <n v="8050.52"/>
        <n v="8920.55"/>
        <n v="7752.62"/>
        <n v="3133.18"/>
        <n v="3674.57"/>
        <n v="2832.73"/>
        <n v="3034.93"/>
        <n v="1265.76"/>
        <n v="4623.87"/>
        <n v="5118.44"/>
        <n v="3340.06"/>
        <n v="3647.02"/>
        <n v="4834.52"/>
        <n v="2254.48"/>
        <n v="1478.91"/>
        <n v="2817.59"/>
        <n v="3569.77"/>
        <n v="2333.79"/>
        <n v="1125.75"/>
        <n v="3615.5"/>
        <n v="3563.58"/>
        <n v="-3952.01"/>
        <n v="-7372.71"/>
        <n v="-8696.08"/>
        <n v="-3668.32"/>
        <n v="-4559.74"/>
        <n v="-6151.14"/>
        <n v="-7498.94"/>
        <n v="-15691.75"/>
        <n v="-11877.03"/>
        <n v="-9284.67"/>
        <n v="-2911.25"/>
        <n v="-4244.26"/>
        <n v="-4861.59"/>
        <n v="2508.51"/>
        <n v="2232.63"/>
        <n v="3414.32"/>
        <n v="3894.4"/>
        <n v="1922.64"/>
        <n v="1659.74"/>
        <n v="1437.31"/>
        <n v="4205.71"/>
        <n v="4637.62"/>
        <n v="6548.41"/>
        <n v="3834.85"/>
        <n v="1480.54"/>
        <n v="1426.86"/>
        <n v="3692.47"/>
        <n v="-1437.58"/>
        <n v="2639.23"/>
        <n v="-22610.64"/>
        <n v="-33558.11"/>
        <n v="-15500.55"/>
        <n v="-14421.79"/>
        <n v="-11526.59"/>
        <n v="-16978.03"/>
        <n v="-19741.25"/>
        <n v="-26475.38"/>
        <n v="-27990.38"/>
        <n v="-7943.46"/>
        <n v="-7019.49"/>
        <n v="-9624.64"/>
        <n v="-9581.86"/>
        <n v="463.77"/>
        <n v="-18753.16"/>
        <n v="-23602.97"/>
        <n v="-6599.75"/>
        <n v="-7418.25"/>
        <n v="-8364.05"/>
        <n v="-9208.43"/>
        <n v="-7689.42"/>
        <n v="-18501.65"/>
        <n v="-22510.6"/>
        <n v="-17206.52"/>
        <n v="-16310.8"/>
        <n v="-12695.82"/>
        <n v="-10496.67"/>
        <n v="-7835.0"/>
        <n v="-12095.25"/>
        <n v="-15508.04"/>
        <n v="-7482.13"/>
        <n v="-6077.24"/>
        <n v="-6920.26"/>
        <n v="-6653.61"/>
        <n v="-7486.14"/>
        <n v="-17478.91"/>
        <n v="-18709.54"/>
        <n v="-9321.91"/>
        <n v="-7734.04"/>
        <n v="-8716.14"/>
        <n v="-7797.82"/>
        <n v="-5808.2"/>
        <n v="-2185.56"/>
        <n v="-3573.67"/>
        <n v="-428.04"/>
        <n v="-907.82"/>
        <n v="1393.62"/>
        <n v="2152.29"/>
        <n v="2092.47"/>
        <n v="4418.81"/>
        <n v="5156.75"/>
        <n v="1989.72"/>
        <n v="3325.47"/>
        <n v="6340.11"/>
        <n v="3144.97"/>
        <n v="2523.44"/>
        <n v="2664.28"/>
        <n v="3166.64"/>
        <n v="1900.84"/>
        <n v="1927.53"/>
        <n v="3044.1"/>
        <n v="2306.11"/>
        <n v="2727.59"/>
        <n v="3384.83"/>
        <n v="2588.8"/>
        <n v="1334.92"/>
        <n v="1991.13"/>
        <n v="2850.85"/>
        <n v="-8104.67"/>
        <n v="1978.2"/>
        <n v="3003.51"/>
        <n v="-13020.9"/>
        <n v="2057.73"/>
        <n v="2094.8"/>
        <n v="1394.91"/>
        <n v="-7983.19"/>
        <n v="3201.34"/>
        <n v="-22561.48"/>
        <n v="-24080.15"/>
        <n v="-10932.08"/>
        <n v="-11873.63"/>
        <n v="-8656.08"/>
        <n v="-7884.49"/>
        <n v="-11714.07"/>
        <n v="-24446.64"/>
        <n v="-25094.74"/>
        <n v="-12227.33"/>
        <n v="-14539.22"/>
        <n v="-10459.7"/>
        <n v="3048.27"/>
        <n v="3905.39"/>
        <n v="-17088.2"/>
        <n v="-15724.6"/>
        <n v="-7464.66"/>
        <n v="-8787.17"/>
        <n v="-7112.93"/>
        <n v="-7416.01"/>
        <n v="-6778.69"/>
        <n v="-18237.54"/>
        <n v="-21352.48"/>
        <n v="-9689.14"/>
        <n v="-10308.32"/>
        <n v="-6649.12"/>
        <n v="-3135.84"/>
        <n v="-3031.59"/>
        <n v="-7227.21"/>
        <n v="-9616.6"/>
        <n v="-3955.4"/>
        <n v="-6889.33"/>
        <n v="-17036.01"/>
        <n v="-29622.53"/>
        <n v="-29102.4"/>
        <n v="-66930.59"/>
        <n v="-80692.18"/>
        <n v="-40391.61"/>
        <n v="-67897.36"/>
        <n v="-54010.36"/>
        <n v="-53112.74"/>
        <n v="-35865.17"/>
        <n v="-57487.69"/>
        <n v="-63465.95"/>
        <n v="-26934.62"/>
        <n v="-28151.9"/>
        <n v="2678.69"/>
        <n v="1664.86"/>
        <n v="1385.75"/>
        <n v="2678.25"/>
        <n v="3072.63"/>
        <n v="1487.32"/>
        <n v="2142.14"/>
        <n v="1450.77"/>
        <n v="1296.12"/>
        <n v="1145.06"/>
        <n v="1878.04"/>
        <n v="2192.93"/>
        <n v="1086.65"/>
        <n v="1162.29"/>
        <n v="1237.75"/>
        <n v="-13645.7"/>
        <n v="-24602.3"/>
        <n v="-40516.93"/>
        <n v="-43991.5"/>
        <n v="-20590.05"/>
        <n v="-19595.86"/>
        <n v="-26798.46"/>
        <n v="-44868.29"/>
        <n v="-35564.37"/>
        <n v="-39245.84"/>
        <n v="-49645.47"/>
        <n v="-21224.54"/>
        <n v="-28530.9"/>
        <n v="3859.84"/>
        <n v="3367.15"/>
        <n v="5215.37"/>
        <n v="9083.85"/>
        <n v="6845.92"/>
        <n v="3045.22"/>
        <n v="4407.43"/>
        <n v="3256.56"/>
        <n v="6077.92"/>
        <n v="4141.92"/>
        <n v="4108.07"/>
        <n v="5005.97"/>
        <n v="2781.16"/>
        <n v="2853.1"/>
        <n v="2971.54"/>
        <n v="2563.88"/>
        <n v="2712.3"/>
        <n v="7013.51"/>
        <n v="8592.01"/>
        <n v="3781.49"/>
        <n v="4533.33"/>
        <n v="2460.51"/>
        <n v="1879.33"/>
        <n v="1411.39"/>
        <n v="3332.68"/>
        <n v="4814.3"/>
        <n v="2829.84"/>
        <n v="4087.68"/>
        <n v="8295.24"/>
        <n v="4884.09"/>
        <n v="2381.37"/>
        <n v="3628.6"/>
        <n v="4026.48"/>
        <n v="2121.28"/>
        <n v="2135.69"/>
        <n v="1306.5"/>
        <n v="1146.92"/>
        <n v="1035.9"/>
        <n v="2813.27"/>
        <n v="3787.23"/>
        <n v="1965.63"/>
        <n v="1894.54"/>
        <n v="1473.44"/>
        <n v="1119.55"/>
        <n v="1002.74"/>
        <n v="6781.42"/>
        <n v="6318.89"/>
        <n v="4326.65"/>
        <n v="3354.28"/>
        <n v="4856.45"/>
        <n v="4316.58"/>
        <n v="5056.97"/>
        <n v="6165.63"/>
        <n v="8441.38"/>
        <n v="7859.94"/>
        <n v="7843.27"/>
        <n v="2686.1"/>
        <n v="1935.44"/>
        <n v="493.59"/>
        <n v="264.89"/>
        <n v="-4628.72"/>
        <n v="-7228.36"/>
        <n v="-960.14"/>
        <n v="-1588.81"/>
        <n v="-7503.71"/>
        <n v="-13089.64"/>
        <n v="-22144.01"/>
        <n v="-33213.69"/>
        <n v="-14827.21"/>
        <n v="-22243.01"/>
        <n v="-13533.2"/>
        <n v="-12226.52"/>
        <n v="-19076.63"/>
        <n v="-25173.18"/>
        <n v="-30211.23"/>
        <n v="-16811.1"/>
        <n v="-5623.83"/>
        <n v="-10232.41"/>
        <n v="-9678.77"/>
        <n v="-2839.25"/>
        <n v="-925.4"/>
        <n v="-2221.43"/>
        <n v="-1431.38"/>
        <n v="-2696.11"/>
        <n v="-19334.26"/>
        <n v="-32958.04"/>
        <n v="-10009.01"/>
        <n v="-23918.01"/>
        <n v="-21921.44"/>
        <n v="-16032.64"/>
        <n v="-19544.4"/>
        <n v="-15794.76"/>
        <n v="-1552.35"/>
        <n v="-1573.32"/>
        <n v="-2584.75"/>
        <n v="-2585.23"/>
        <n v="-1454.0"/>
        <n v="-1729.24"/>
        <n v="-1326.45"/>
        <n v="-1149.97"/>
        <n v="-1256.99"/>
        <n v="-2586.93"/>
        <n v="-2922.95"/>
        <n v="-1259.65"/>
        <n v="-966.81"/>
        <n v="-1307.5"/>
        <n v="-1348.11"/>
        <n v="-1401.16"/>
        <n v="-3360.9"/>
        <n v="-3360.31"/>
        <n v="-1702.77"/>
        <n v="-1977.68"/>
        <n v="-1621.52"/>
        <n v="-1296.46"/>
        <n v="-1221.22"/>
        <n v="-2681.32"/>
        <n v="-3621.12"/>
        <n v="-3182.53"/>
        <n v="-2411.38"/>
        <n v="-1562.52"/>
        <n v="-718.29"/>
        <n v="-195.97"/>
        <n v="-35.29"/>
        <n v="255.74"/>
        <n v="-4.57"/>
        <n v="810.61"/>
        <n v="-9855.43"/>
        <n v="-11499.72"/>
        <n v="-9236.22"/>
        <n v="-23849.65"/>
        <n v="-27538.15"/>
        <n v="-13204.14"/>
        <n v="-14217.01"/>
        <n v="-8761.61"/>
        <n v="-9674.61"/>
        <n v="-8495.57"/>
        <n v="-17168.62"/>
        <n v="-15648.18"/>
        <n v="-7967.43"/>
        <n v="972.35"/>
        <n v="-5393.17"/>
        <n v="-11068.17"/>
        <n v="-9013.3"/>
        <n v="-17456.66"/>
        <n v="-24131.87"/>
        <n v="-19867.71"/>
        <n v="-18004.23"/>
        <n v="-19381.27"/>
        <n v="-20614.16"/>
        <n v="-11602.17"/>
        <n v="-22125.16"/>
        <n v="-25322.2"/>
        <n v="711.98"/>
        <n v="800.12"/>
        <n v="425.93"/>
        <n v="425.7"/>
        <n v="326.81"/>
        <n v="765.7"/>
        <n v="1017.72"/>
        <n v="349.49"/>
        <n v="514.0"/>
        <n v="360.68"/>
        <n v="286.92"/>
        <n v="231.96"/>
        <n v="427.73"/>
        <n v="531.6"/>
        <n v="197.99"/>
        <n v="210.14"/>
        <n v="-11314.44"/>
        <n v="-22976.0"/>
        <n v="-21176.68"/>
        <n v="-32273.3"/>
        <n v="-41877.91"/>
        <n v="-20256.92"/>
        <n v="-19615.89"/>
        <n v="-31454.0"/>
        <n v="-43589.49"/>
        <n v="-62490.0"/>
        <n v="-43870.6"/>
        <n v="-34570.69"/>
        <n v="-11757.72"/>
        <n v="-15938.97"/>
        <n v="-1575.95"/>
        <n v="338.54"/>
        <n v="263.09"/>
        <n v="413.1"/>
        <n v="464.03"/>
        <n v="299.23"/>
        <n v="437.08"/>
        <n v="835.83"/>
        <n v="1308.54"/>
        <n v="1172.22"/>
        <n v="2502.97"/>
        <n v="3297.69"/>
        <n v="1573.36"/>
        <n v="1526.53"/>
        <n v="1702.17"/>
        <n v="-7526.19"/>
        <n v="1864.28"/>
        <n v="-18803.59"/>
        <n v="-38423.69"/>
        <n v="-10594.94"/>
        <n v="-10025.44"/>
        <n v="-10243.46"/>
        <n v="-10498.48"/>
        <n v="-20769.14"/>
        <n v="-26503.52"/>
        <n v="-35185.8"/>
        <n v="-13738.44"/>
        <n v="-16433.33"/>
        <n v="-11777.97"/>
        <n v="-17265.66"/>
        <n v="1428.89"/>
        <n v="-24975.84"/>
        <n v="-29855.02"/>
        <n v="-12707.05"/>
        <n v="-15233.52"/>
        <n v="-14857.02"/>
        <n v="-12818.45"/>
        <n v="-11441.61"/>
        <n v="-29219.86"/>
        <n v="-31869.54"/>
        <n v="-13651.9"/>
        <n v="-15090.02"/>
        <n v="-9905.18"/>
        <n v="-12391.9"/>
        <n v="2841.11"/>
        <n v="-24666.5"/>
        <n v="-32220.87"/>
        <n v="-12877.88"/>
        <n v="-19739.28"/>
        <n v="-15333.84"/>
        <n v="-18696.86"/>
        <n v="-16737.4"/>
        <n v="-36104.39"/>
        <n v="-42114.72"/>
        <n v="-20191.29"/>
        <n v="-34061.33"/>
        <n v="-25849.93"/>
        <n v="-20656.28"/>
        <n v="-15282.01"/>
        <n v="-22476.78"/>
        <n v="-26681.71"/>
        <n v="-13745.68"/>
        <n v="3644.46"/>
        <n v="2744.13"/>
        <n v="2530.19"/>
        <n v="2449.18"/>
        <n v="5733.64"/>
        <n v="6762.15"/>
        <n v="3119.72"/>
        <n v="5538.7"/>
        <n v="3667.19"/>
        <n v="3433.4"/>
        <n v="3072.81"/>
        <n v="5895.63"/>
        <n v="7016.37"/>
        <n v="3730.44"/>
        <n v="3556.84"/>
        <n v="2786.68"/>
        <n v="-6815.04"/>
        <n v="-11521.91"/>
        <n v="-19661.9"/>
        <n v="-22772.21"/>
        <n v="-11446.62"/>
        <n v="-10313.35"/>
        <n v="-13213.85"/>
        <n v="-19016.93"/>
        <n v="-15580.31"/>
        <n v="-16182.51"/>
        <n v="-18659.58"/>
        <n v="-9095.58"/>
        <n v="-10201.23"/>
        <n v="-8045.83"/>
        <n v="-162.45"/>
        <n v="-1097.88"/>
        <n v="-1901.44"/>
        <n v="-1546.38"/>
        <n v="-1295.36"/>
        <n v="-1358.73"/>
        <n v="-1268.89"/>
        <n v="-1403.83"/>
        <n v="-1850.06"/>
        <n v="-3465.39"/>
        <n v="-3052.15"/>
        <n v="-1909.88"/>
        <n v="-1435.87"/>
        <n v="-1878.74"/>
        <n v="-1163.94"/>
        <n v="-2523.92"/>
        <n v="-4738.63"/>
        <n v="-4912.45"/>
        <n v="-3374.18"/>
        <n v="-3399.93"/>
        <n v="-2117.29"/>
        <n v="-2082.86"/>
        <n v="-1930.67"/>
        <n v="-4843.26"/>
        <n v="-5393.07"/>
        <n v="-2674.32"/>
        <n v="-1972.55"/>
        <n v="-2744.86"/>
        <n v="-2540.86"/>
        <n v="-2623.74"/>
        <n v="-3380.89"/>
        <n v="-3853.43"/>
        <n v="-2474.69"/>
        <n v="-2697.65"/>
        <n v="-2351.34"/>
        <n v="-2150.87"/>
        <n v="-1951.01"/>
        <n v="-4104.8"/>
        <n v="-5216.35"/>
        <n v="-3533.11"/>
        <n v="-3111.18"/>
        <n v="-1676.0"/>
        <n v="-869.9"/>
        <n v="-652.22"/>
        <n v="-2000.67"/>
        <n v="-2481.8"/>
        <n v="-574.12"/>
        <n v="-342.7"/>
        <n v="-29292.37"/>
        <n v="-31633.47"/>
        <n v="-24113.58"/>
        <n v="-39144.18"/>
        <n v="-43390.18"/>
        <n v="-17902.51"/>
        <n v="-29410.52"/>
        <n v="-33294.83"/>
        <n v="-28039.92"/>
        <n v="-21792.78"/>
        <n v="-25919.45"/>
        <n v="-27711.57"/>
        <n v="-11928.24"/>
        <n v="-13586.43"/>
        <n v="3647.3"/>
        <n v="3802.57"/>
        <n v="3090.24"/>
        <n v="4380.18"/>
        <n v="3040.86"/>
        <n v="1716.11"/>
        <n v="2504.18"/>
        <n v="2400.87"/>
        <n v="1589.26"/>
        <n v="1666.99"/>
        <n v="3622.66"/>
        <n v="3784.99"/>
        <n v="2226.48"/>
        <n v="2818.01"/>
        <n v="2792.57"/>
        <n v="-13401.08"/>
        <n v="-17668.05"/>
        <n v="-45503.12"/>
        <n v="-46306.95"/>
        <n v="-22114.11"/>
        <n v="-25678.6"/>
        <n v="-19846.89"/>
        <n v="-44886.1"/>
        <n v="-56973.47"/>
        <n v="-54755.79"/>
        <n v="-64449.33"/>
        <n v="-29457.7"/>
        <n v="-42340.28"/>
        <n v="-31672.73"/>
        <n v="2025.54"/>
        <n v="1873.07"/>
        <n v="3965.89"/>
        <n v="3751.32"/>
        <n v="1795.83"/>
        <n v="1816.13"/>
        <n v="1259.73"/>
        <n v="1326.57"/>
        <n v="1691.63"/>
        <n v="3477.34"/>
        <n v="3503.41"/>
        <n v="1870.68"/>
        <n v="1729.33"/>
        <n v="1318.53"/>
        <n v="1678.32"/>
        <n v="1752.48"/>
        <n v="-6756.01"/>
        <n v="-9292.66"/>
        <n v="-4296.81"/>
        <n v="-4812.99"/>
        <n v="-5123.72"/>
        <n v="-15399.09"/>
        <n v="-5301.86"/>
        <n v="-12545.72"/>
        <n v="-38176.62"/>
        <n v="-13163.4"/>
        <n v="-12360.17"/>
        <n v="-9124.74"/>
        <n v="-19212.21"/>
        <n v="-4762.48"/>
        <n v="-9198.1"/>
        <n v="-26670.92"/>
        <n v="-6099.57"/>
        <n v="4294.16"/>
        <n v="-12387.19"/>
        <n v="-13771.66"/>
        <n v="-13243.06"/>
        <n v="-33126.55"/>
        <n v="-35073.09"/>
        <n v="-15943.53"/>
        <n v="-16422.73"/>
        <n v="-14256.62"/>
        <n v="-13931.11"/>
        <n v="-13620.46"/>
        <n v="-27931.16"/>
        <n v="-29201.95"/>
        <n v="-15096.02"/>
        <n v="5335.79"/>
        <n v="-10435.14"/>
        <n v="-22893.11"/>
        <n v="-43900.69"/>
        <n v="-55449.67"/>
        <n v="-64255.96"/>
        <n v="-35455.76"/>
        <n v="-23327.48"/>
        <n v="-23443.78"/>
        <n v="-21369.91"/>
        <n v="-18061.56"/>
        <n v="-27758.77"/>
        <n v="-31857.16"/>
        <n v="-15036.0"/>
        <n v="6442.01"/>
        <n v="-3991.38"/>
        <n v="-4157.65"/>
        <n v="-4542.18"/>
        <n v="-7999.76"/>
        <n v="-26132.28"/>
        <n v="-5967.52"/>
        <n v="-6037.92"/>
        <n v="-16851.62"/>
        <n v="-17025.84"/>
        <n v="-17216.22"/>
        <n v="-22291.54"/>
        <n v="-24716.37"/>
        <n v="-12109.19"/>
        <n v="-23541.59"/>
        <n v="-25174.29"/>
        <n v="18746.18"/>
        <n v="27831.94"/>
        <n v="9365.43"/>
        <n v="5901.95"/>
        <n v="4906.76"/>
        <n v="9520.49"/>
        <n v="-14110.63"/>
        <n v="-18477.04"/>
        <n v="-28472.21"/>
        <n v="-9798.04"/>
        <n v="-23254.56"/>
        <n v="-14781.41"/>
        <n v="-24586.09"/>
        <n v="-18904.24"/>
        <n v="7036.42"/>
        <n v="5412.35"/>
        <n v="7570.66"/>
        <n v="9666.19"/>
        <n v="6474.36"/>
        <n v="8822.64"/>
        <n v="7219.04"/>
        <n v="4827.19"/>
        <n v="4494.5"/>
        <n v="10762.03"/>
        <n v="13710.07"/>
        <n v="6577.27"/>
        <n v="6985.69"/>
        <n v="5059.62"/>
        <n v="-22760.65"/>
        <n v="5152.01"/>
        <n v="-27373.69"/>
        <n v="-30820.84"/>
        <n v="-14366.79"/>
        <n v="-19450.56"/>
        <n v="-16733.68"/>
        <n v="-17277.98"/>
        <n v="-14871.87"/>
        <n v="-39214.6"/>
        <n v="-49269.1"/>
        <n v="-20558.13"/>
        <n v="-32172.85"/>
        <n v="-17529.26"/>
        <n v="-16232.97"/>
        <n v="-11594.16"/>
        <n v="-19538.8"/>
        <n v="-22322.46"/>
        <n v="-10459.14"/>
        <n v="-12883.47"/>
        <n v="9812.9"/>
        <n v="10281.69"/>
        <n v="8543.6"/>
        <n v="19256.48"/>
        <n v="22002.52"/>
        <n v="11613.16"/>
        <n v="14776.16"/>
        <n v="9075.44"/>
        <n v="-8558.5"/>
        <n v="8105.1"/>
        <n v="17829.24"/>
        <n v="-20230.93"/>
        <n v="10501.8"/>
        <n v="9263.76"/>
        <n v="5541.08"/>
        <n v="-207.44"/>
        <n v="-1649.96"/>
        <n v="5633.01"/>
        <n v="5918.72"/>
        <n v="5057.15"/>
        <n v="2746.79"/>
        <n v="-2133.66"/>
        <n v="-3232.51"/>
        <n v="-2242.88"/>
        <n v="-1911.77"/>
        <n v="-1253.1"/>
        <n v="-199.49"/>
        <n v="-4024.5"/>
        <n v="-1814.79"/>
        <n v="2422.26"/>
        <n v="2344.81"/>
        <n v="4945.37"/>
        <n v="4789.47"/>
        <n v="2192.76"/>
        <n v="2678.47"/>
        <n v="3226.28"/>
        <n v="2397.85"/>
        <n v="2055.67"/>
        <n v="4530.07"/>
        <n v="5399.84"/>
        <n v="3220.28"/>
        <n v="2850.16"/>
        <n v="3881.84"/>
        <n v="3397.22"/>
        <n v="3161.05"/>
        <n v="5916.05"/>
        <n v="1494.68"/>
        <n v="678.26"/>
        <n v="582.95"/>
        <n v="241.2"/>
        <n v="-4118.68"/>
        <n v="-7420.61"/>
        <n v="-12948.43"/>
        <n v="-9611.73"/>
        <n v="-4826.59"/>
        <n v="937.83"/>
        <n v="1941.36"/>
        <n v="4021.9"/>
        <n v="-15976.71"/>
        <n v="-27291.69"/>
        <n v="-25403.12"/>
        <n v="-8919.88"/>
        <n v="-10852.22"/>
        <n v="-9535.47"/>
        <n v="-8458.01"/>
        <n v="-10058.82"/>
        <n v="-19158.28"/>
        <n v="-17986.37"/>
        <n v="-10358.13"/>
        <n v="-8670.97"/>
        <n v="-6830.34"/>
        <n v="-12625.1"/>
        <n v="-14688.74"/>
        <n v="-28952.14"/>
        <n v="-34676.53"/>
        <n v="-16225.03"/>
        <n v="-21805.57"/>
        <n v="-22148.02"/>
        <n v="-24496.18"/>
        <n v="-19527.58"/>
        <n v="-33660.73"/>
        <n v="-42060.46"/>
        <n v="-25655.11"/>
        <n v="-21713.27"/>
        <n v="-22285.69"/>
        <n v="-19538.51"/>
        <n v="-16580.78"/>
        <n v="-23509.53"/>
        <n v="-26457.02"/>
        <n v="-9552.11"/>
        <n v="8658.56"/>
        <n v="5610.54"/>
        <n v="4620.66"/>
        <n v="3640.25"/>
        <n v="10761.37"/>
        <n v="11058.44"/>
        <n v="6885.3"/>
        <n v="5732.52"/>
        <n v="5214.28"/>
        <n v="4522.42"/>
        <n v="5174.03"/>
        <n v="12904.9"/>
        <n v="13200.88"/>
        <n v="8192.45"/>
        <n v="9215.12"/>
        <n v="-4301.83"/>
        <n v="-15288.27"/>
        <n v="-12983.79"/>
        <n v="-22412.47"/>
        <n v="-24193.73"/>
        <n v="-12749.14"/>
        <n v="-10917.87"/>
        <n v="-15415.36"/>
        <n v="-23134.09"/>
        <n v="-17476.86"/>
        <n v="-22364.82"/>
        <n v="-24408.88"/>
        <n v="-12688.73"/>
        <n v="-11002.8"/>
        <n v="9531.16"/>
        <n v="-10368.83"/>
        <n v="-5038.95"/>
        <n v="-9044.12"/>
        <n v="-17935.67"/>
        <n v="-4996.55"/>
        <n v="-4883.29"/>
        <n v="-4004.5"/>
        <n v="-13904.18"/>
        <n v="-7177.35"/>
        <n v="-11909.06"/>
        <n v="-19029.06"/>
        <n v="-4913.47"/>
        <n v="-5144.19"/>
        <n v="-4280.86"/>
        <n v="5508.07"/>
        <n v="-11906.8"/>
        <n v="-32468.57"/>
        <n v="-37629.54"/>
        <n v="-18870.93"/>
        <n v="-20723.86"/>
        <n v="-16488.5"/>
        <n v="-17323.0"/>
        <n v="-23136.47"/>
        <n v="-38732.04"/>
        <n v="-35943.74"/>
        <n v="-19349.73"/>
        <n v="-22520.79"/>
        <n v="-17663.13"/>
        <n v="-15717.31"/>
        <n v="9980.15"/>
        <n v="12530.22"/>
        <n v="11333.05"/>
        <n v="5717.99"/>
        <n v="6608.04"/>
        <n v="5277.44"/>
        <n v="4736.59"/>
        <n v="4369.59"/>
        <n v="11557.54"/>
        <n v="13641.48"/>
        <n v="6514.25"/>
        <n v="7381.33"/>
        <n v="5433.32"/>
        <n v="6116.13"/>
        <n v="5036.6"/>
        <n v="8763.76"/>
        <n v="11057.87"/>
        <n v="5862.24"/>
        <n v="6198.23"/>
        <n v="6290.34"/>
        <n v="9584.58"/>
        <n v="7363.31"/>
        <n v="13161.94"/>
        <n v="13469.31"/>
        <n v="8369.59"/>
        <n v="9187.91"/>
        <n v="10011.7"/>
        <n v="6831.39"/>
        <n v="6508.01"/>
        <n v="10066.65"/>
        <n v="10008.32"/>
        <n v="4193.64"/>
        <n v="5236.48"/>
        <n v="4254.62"/>
        <n v="-8324.17"/>
        <n v="-3959.37"/>
        <n v="-9714.41"/>
        <n v="-15387.38"/>
        <n v="-6517.49"/>
        <n v="-5852.65"/>
        <n v="-5049.12"/>
        <n v="-5979.44"/>
        <n v="-5363.85"/>
        <n v="-11228.66"/>
        <n v="-12163.93"/>
        <n v="-7253.98"/>
        <n v="-5980.36"/>
        <n v="5888.34"/>
        <n v="-7292.0"/>
        <n v="-14054.14"/>
        <n v="-20872.07"/>
        <n v="-21686.02"/>
        <n v="-9507.64"/>
        <n v="-9853.37"/>
        <n v="-8337.95"/>
        <n v="-14267.3"/>
        <n v="-19539.14"/>
        <n v="-22138.08"/>
        <n v="-22751.45"/>
        <n v="-13137.71"/>
        <n v="-14412.27"/>
        <n v="-9614.04"/>
        <n v="6906.28"/>
        <n v="5900.47"/>
        <n v="7723.79"/>
        <n v="8478.38"/>
        <n v="4817.43"/>
        <n v="5191.01"/>
        <n v="3026.14"/>
        <n v="2120.06"/>
        <n v="4277.41"/>
        <n v="7319.65"/>
        <n v="10548.3"/>
        <n v="5231.3"/>
        <n v="4906.02"/>
        <n v="3892.62"/>
        <n v="5252.6"/>
        <n v="4320.35"/>
        <n v="15539.06"/>
        <n v="16141.02"/>
        <n v="7698.79"/>
        <n v="7176.04"/>
        <n v="6129.01"/>
        <n v="1628.22"/>
        <n v="1832.01"/>
        <n v="4881.94"/>
        <n v="7072.25"/>
        <n v="5233.52"/>
        <n v="16252.54"/>
        <n v="11129.15"/>
        <n v="9186.17"/>
        <n v="8303.17"/>
        <n v="10302.25"/>
        <n v="10844.08"/>
        <n v="6144.15"/>
        <n v="5951.21"/>
        <n v="4228.65"/>
        <n v="3205.72"/>
        <n v="2630.12"/>
        <n v="7370.18"/>
        <n v="8787.21"/>
        <n v="4594.99"/>
        <n v="5420.0"/>
        <n v="3662.48"/>
        <n v="3993.99"/>
        <n v="3610.07"/>
        <n v="9210.27"/>
        <n v="9732.58"/>
        <n v="4747.96"/>
        <n v="3783.87"/>
        <n v="6950.23"/>
        <n v="6400.87"/>
        <n v="5473.28"/>
        <n v="9948.63"/>
        <n v="11800.31"/>
        <n v="6287.32"/>
        <n v="7704.44"/>
        <n v="16255.43"/>
        <n v="11354.37"/>
        <n v="7625.59"/>
        <n v="11673.68"/>
        <n v="12622.73"/>
        <n v="6208.83"/>
        <n v="6557.89"/>
        <n v="5787.45"/>
        <n v="4568.03"/>
        <n v="3977.91"/>
        <n v="8383.18"/>
        <n v="8735.7"/>
        <n v="4834.17"/>
        <n v="4765.98"/>
        <n v="7404.93"/>
        <n v="5801.1"/>
      </sharedItems>
    </cacheField>
    <cacheField name="Daily % Gross Profit" numFmtId="0">
      <sharedItems containsSemiMixedTypes="0" containsString="0" containsNumber="1">
        <n v="-2.74"/>
        <n v="-2.21"/>
        <n v="-1.39"/>
        <n v="-1.35"/>
        <n v="-2.11"/>
        <n v="-2.15"/>
        <n v="-2.17"/>
        <n v="-2.32"/>
        <n v="-2.46"/>
        <n v="2.41"/>
        <n v="2.77"/>
        <n v="2.31"/>
        <n v="2.35"/>
        <n v="2.49"/>
        <n v="1.81"/>
        <n v="1.83"/>
        <n v="2.04"/>
        <n v="2.0"/>
        <n v="1.88"/>
        <n v="1.7"/>
        <n v="1.12"/>
        <n v="1.74"/>
        <n v="1.57"/>
        <n v="1.35"/>
        <n v="1.28"/>
        <n v="1.38"/>
        <n v="1.37"/>
        <n v="1.51"/>
        <n v="1.53"/>
        <n v="1.73"/>
        <n v="1.25"/>
        <n v="-4.23"/>
        <n v="0.33"/>
        <n v="-3.97"/>
        <n v="-4.33"/>
        <n v="-4.7"/>
        <n v="-4.81"/>
        <n v="-3.19"/>
        <n v="-2.12"/>
        <n v="-1.98"/>
        <n v="-1.96"/>
        <n v="-1.7"/>
        <n v="-1.38"/>
        <n v="3.83"/>
        <n v="-1.23"/>
        <n v="3.81"/>
        <n v="-1.31"/>
        <n v="-3.52"/>
        <n v="-1.63"/>
        <n v="-1.02"/>
        <n v="-1.13"/>
        <n v="-1.41"/>
        <n v="-6.28"/>
        <n v="-3.74"/>
        <n v="-3.0"/>
        <n v="-3.48"/>
        <n v="-4.18"/>
        <n v="-4.26"/>
        <n v="-0.2"/>
        <n v="-4.11"/>
        <n v="-3.96"/>
        <n v="-3.99"/>
        <n v="-2.33"/>
        <n v="-2.84"/>
        <n v="-2.62"/>
        <n v="-2.73"/>
        <n v="-3.13"/>
        <n v="-2.9"/>
        <n v="-2.91"/>
        <n v="4.51"/>
        <n v="4.47"/>
        <n v="4.46"/>
        <n v="4.44"/>
        <n v="4.48"/>
        <n v="4.52"/>
        <n v="2.18"/>
        <n v="2.42"/>
        <n v="1.06"/>
        <n v="1.67"/>
        <n v="1.43"/>
        <n v="1.91"/>
        <n v="1.98"/>
        <n v="1.45"/>
        <n v="1.09"/>
        <n v="1.48"/>
        <n v="1.64"/>
        <n v="1.96"/>
        <n v="0.85"/>
        <n v="3.04"/>
        <n v="2.85"/>
        <n v="-2.2"/>
        <n v="-2.31"/>
        <n v="-2.35"/>
        <n v="-2.55"/>
        <n v="-2.56"/>
        <n v="-2.58"/>
        <n v="-2.63"/>
        <n v="-2.66"/>
        <n v="2.29"/>
        <n v="2.27"/>
        <n v="1.15"/>
        <n v="1.54"/>
        <n v="1.34"/>
        <n v="2.72"/>
        <n v="2.57"/>
        <n v="4.0"/>
        <n v="2.92"/>
        <n v="1.59"/>
        <n v="1.29"/>
        <n v="3.09"/>
        <n v="-1.57"/>
        <n v="2.74"/>
        <n v="-7.46"/>
        <n v="-7.77"/>
        <n v="-7.73"/>
        <n v="-7.86"/>
        <n v="-7.89"/>
        <n v="-8.44"/>
        <n v="-7.31"/>
        <n v="-6.37"/>
        <n v="-5.61"/>
        <n v="-4.77"/>
        <n v="-4.17"/>
        <n v="-5.4"/>
        <n v="-4.92"/>
        <n v="0.4"/>
        <n v="-4.36"/>
        <n v="-4.0"/>
        <n v="-3.4"/>
        <n v="-3.7"/>
        <n v="-3.78"/>
        <n v="-3.71"/>
        <n v="-3.68"/>
        <n v="-3.73"/>
        <n v="-3.77"/>
        <n v="-3.83"/>
        <n v="-3.87"/>
        <n v="-3.66"/>
        <n v="-4.24"/>
        <n v="-4.2"/>
        <n v="-3.86"/>
        <n v="-3.67"/>
        <n v="-3.82"/>
        <n v="-3.95"/>
        <n v="-4.16"/>
        <n v="-4.1"/>
        <n v="-5.11"/>
        <n v="-1.08"/>
        <n v="-1.76"/>
        <n v="-0.32"/>
        <n v="-0.66"/>
        <n v="3.8"/>
        <n v="3.84"/>
        <n v="3.75"/>
        <n v="3.35"/>
        <n v="3.53"/>
        <n v="3.21"/>
        <n v="3.55"/>
        <n v="3.52"/>
        <n v="3.0"/>
        <n v="2.7"/>
        <n v="2.69"/>
        <n v="2.71"/>
        <n v="2.8"/>
        <n v="2.81"/>
        <n v="2.82"/>
        <n v="2.62"/>
        <n v="2.53"/>
        <n v="2.61"/>
        <n v="2.64"/>
        <n v="2.58"/>
        <n v="-5.18"/>
        <n v="2.45"/>
        <n v="-5.36"/>
        <n v="2.46"/>
        <n v="-4.82"/>
        <n v="-4.37"/>
        <n v="-4.28"/>
        <n v="-4.06"/>
        <n v="-4.08"/>
        <n v="-3.98"/>
        <n v="-4.02"/>
        <n v="3.78"/>
        <n v="-3.89"/>
        <n v="-3.85"/>
        <n v="-3.81"/>
        <n v="-3.75"/>
        <n v="-3.94"/>
        <n v="-4.05"/>
        <n v="-4.04"/>
        <n v="-4.15"/>
        <n v="-1.83"/>
        <n v="-1.85"/>
        <n v="-1.92"/>
        <n v="-1.84"/>
        <n v="-2.18"/>
        <n v="-7.02"/>
        <n v="-10.78"/>
        <n v="-11.28"/>
        <n v="-11.27"/>
        <n v="-11.25"/>
        <n v="-11.41"/>
        <n v="-11.5"/>
        <n v="-11.45"/>
        <n v="-11.48"/>
        <n v="-11.47"/>
        <n v="-11.51"/>
        <n v="2.11"/>
        <n v="1.8"/>
        <n v="1.79"/>
        <n v="1.72"/>
        <n v="1.78"/>
        <n v="1.76"/>
        <n v="1.65"/>
        <n v="1.44"/>
        <n v="-6.5"/>
        <n v="-6.87"/>
        <n v="-6.92"/>
        <n v="-7.13"/>
        <n v="-7.25"/>
        <n v="-7.41"/>
        <n v="-7.49"/>
        <n v="-7.55"/>
        <n v="-7.56"/>
        <n v="-7.57"/>
        <n v="-7.58"/>
        <n v="-7.6"/>
        <n v="4.94"/>
        <n v="4.78"/>
        <n v="5.05"/>
        <n v="4.96"/>
        <n v="4.99"/>
        <n v="5.08"/>
        <n v="4.68"/>
        <n v="4.66"/>
        <n v="4.35"/>
        <n v="3.39"/>
        <n v="2.95"/>
        <n v="3.07"/>
        <n v="2.87"/>
        <n v="2.59"/>
        <n v="2.78"/>
        <n v="2.84"/>
        <n v="2.94"/>
        <n v="3.12"/>
        <n v="2.75"/>
        <n v="2.02"/>
        <n v="1.95"/>
        <n v="1.99"/>
        <n v="8.36"/>
        <n v="6.71"/>
        <n v="2.51"/>
        <n v="2.86"/>
        <n v="2.32"/>
        <n v="2.1"/>
        <n v="2.19"/>
        <n v="12.56"/>
        <n v="13.3"/>
        <n v="13.86"/>
        <n v="12.48"/>
        <n v="11.98"/>
        <n v="14.21"/>
        <n v="13.39"/>
        <n v="13.17"/>
        <n v="9.56"/>
        <n v="7.78"/>
        <n v="7.46"/>
        <n v="0.9"/>
        <n v="0.34"/>
        <n v="-3.08"/>
        <n v="-6.91"/>
        <n v="-1.07"/>
        <n v="-4.64"/>
        <n v="-8.25"/>
        <n v="-7.93"/>
        <n v="-8.99"/>
        <n v="-8.35"/>
        <n v="-7.88"/>
        <n v="-8.15"/>
        <n v="-8.21"/>
        <n v="-9.43"/>
        <n v="-9.18"/>
        <n v="-9.56"/>
        <n v="-9.67"/>
        <n v="-2.75"/>
        <n v="-3.23"/>
        <n v="-1.99"/>
        <n v="-2.06"/>
        <n v="-2.02"/>
        <n v="-2.07"/>
        <n v="-8.93"/>
        <n v="-9.03"/>
        <n v="-8.92"/>
        <n v="-8.82"/>
        <n v="-8.87"/>
        <n v="-8.7"/>
        <n v="-1.87"/>
        <n v="-2.05"/>
        <n v="-2.09"/>
        <n v="-2.14"/>
        <n v="-2.04"/>
        <n v="-1.93"/>
        <n v="-1.59"/>
        <n v="-1.73"/>
        <n v="-1.71"/>
        <n v="-1.69"/>
        <n v="-1.34"/>
        <n v="-2.16"/>
        <n v="-2.13"/>
        <n v="-1.81"/>
        <n v="-1.86"/>
        <n v="-1.53"/>
        <n v="-0.87"/>
        <n v="-0.42"/>
        <n v="-0.04"/>
        <n v="0.24"/>
        <n v="-0.01"/>
        <n v="0.83"/>
        <n v="-7.11"/>
        <n v="-7.09"/>
        <n v="-6.67"/>
        <n v="-6.65"/>
        <n v="-6.49"/>
        <n v="-6.48"/>
        <n v="-6.45"/>
        <n v="-6.26"/>
        <n v="-6.01"/>
        <n v="-5.89"/>
        <n v="-5.86"/>
        <n v="-5.84"/>
        <n v="-5.65"/>
        <n v="-5.58"/>
        <n v="-5.73"/>
        <n v="-5.68"/>
        <n v="-6.88"/>
        <n v="-7.74"/>
        <n v="-7.67"/>
        <n v="-7.98"/>
        <n v="-7.95"/>
        <n v="-8.22"/>
        <n v="0.58"/>
        <n v="0.68"/>
        <n v="0.75"/>
        <n v="0.65"/>
        <n v="0.52"/>
        <n v="0.64"/>
        <n v="0.71"/>
        <n v="0.59"/>
        <n v="0.54"/>
        <n v="0.44"/>
        <n v="0.3"/>
        <n v="0.26"/>
        <n v="-9.05"/>
        <n v="-9.07"/>
        <n v="-9.24"/>
        <n v="-9.11"/>
        <n v="-9.04"/>
        <n v="-9.12"/>
        <n v="-8.85"/>
        <n v="-8.74"/>
        <n v="-8.6"/>
        <n v="-8.64"/>
        <n v="-8.67"/>
        <n v="-0.89"/>
        <n v="0.35"/>
        <n v="0.36"/>
        <n v="0.37"/>
        <n v="0.38"/>
        <n v="0.53"/>
        <n v="2.05"/>
        <n v="2.25"/>
        <n v="2.34"/>
        <n v="2.48"/>
        <n v="2.67"/>
        <n v="2.99"/>
        <n v="-5.67"/>
        <n v="-5.47"/>
        <n v="-5.29"/>
        <n v="-5.17"/>
        <n v="-5.38"/>
        <n v="-5.28"/>
        <n v="-5.39"/>
        <n v="-5.3"/>
        <n v="-7.62"/>
        <n v="-5.13"/>
        <n v="-4.91"/>
        <n v="1.22"/>
        <n v="-7.66"/>
        <n v="-7.63"/>
        <n v="-7.68"/>
        <n v="-7.69"/>
        <n v="-7.7"/>
        <n v="-7.71"/>
        <n v="-7.18"/>
        <n v="3.36"/>
        <n v="-7.65"/>
        <n v="-7.64"/>
        <n v="3.32"/>
        <n v="3.57"/>
        <n v="3.7"/>
        <n v="3.65"/>
        <n v="3.72"/>
        <n v="3.85"/>
        <n v="3.9"/>
        <n v="4.15"/>
        <n v="4.14"/>
        <n v="4.17"/>
        <n v="4.29"/>
        <n v="-6.39"/>
        <n v="-6.27"/>
        <n v="-6.15"/>
        <n v="-6.17"/>
        <n v="-6.23"/>
        <n v="-6.22"/>
        <n v="-6.03"/>
        <n v="-5.9"/>
        <n v="-5.8"/>
        <n v="-5.93"/>
        <n v="-0.19"/>
        <n v="-1.55"/>
        <n v="-1.51"/>
        <n v="-1.09"/>
        <n v="-2.26"/>
        <n v="-2.48"/>
        <n v="-1.75"/>
        <n v="-2.57"/>
        <n v="-2.36"/>
        <n v="-2.61"/>
        <n v="-3.54"/>
        <n v="-4.13"/>
        <n v="-3.92"/>
        <n v="-3.72"/>
        <n v="-3.9"/>
        <n v="-3.5"/>
        <n v="-3.34"/>
        <n v="-3.11"/>
        <n v="-3.03"/>
        <n v="-2.43"/>
        <n v="-3.53"/>
        <n v="-3.37"/>
        <n v="-2.81"/>
        <n v="-2.92"/>
        <n v="-3.28"/>
        <n v="-3.91"/>
        <n v="-4.94"/>
        <n v="-4.78"/>
        <n v="-4.45"/>
        <n v="-4.97"/>
        <n v="-4.83"/>
        <n v="-1.01"/>
        <n v="-0.58"/>
        <n v="-13.46"/>
        <n v="-10.54"/>
        <n v="-10.1"/>
        <n v="-9.41"/>
        <n v="-8.84"/>
        <n v="-8.65"/>
        <n v="-8.11"/>
        <n v="-8.03"/>
        <n v="-7.61"/>
        <n v="-7.24"/>
        <n v="-7.59"/>
        <n v="5.19"/>
        <n v="5.0"/>
        <n v="6.38"/>
        <n v="5.1"/>
        <n v="5.3"/>
        <n v="5.28"/>
        <n v="4.8"/>
        <n v="4.71"/>
        <n v="5.26"/>
        <n v="5.6"/>
        <n v="5.29"/>
        <n v="5.49"/>
        <n v="5.32"/>
        <n v="6.36"/>
        <n v="5.99"/>
        <n v="-10.71"/>
        <n v="-11.78"/>
        <n v="-12.36"/>
        <n v="-13.18"/>
        <n v="-13.54"/>
        <n v="-13.45"/>
        <n v="-13.87"/>
        <n v="-14.16"/>
        <n v="-13.91"/>
        <n v="-14.29"/>
        <n v="-14.52"/>
        <n v="-14.37"/>
        <n v="3.17"/>
        <n v="3.14"/>
        <n v="3.13"/>
        <n v="3.16"/>
        <n v="-3.64"/>
        <n v="-3.62"/>
        <n v="-4.38"/>
        <n v="-4.4"/>
        <n v="-9.75"/>
        <n v="-4.79"/>
        <n v="-4.59"/>
        <n v="-4.75"/>
        <n v="-9.54"/>
        <n v="-4.29"/>
        <n v="-9.52"/>
        <n v="-4.55"/>
        <n v="4.56"/>
        <n v="-9.42"/>
        <n v="-9.31"/>
        <n v="-9.44"/>
        <n v="-9.25"/>
        <n v="-9.28"/>
        <n v="-9.45"/>
        <n v="-9.27"/>
        <n v="-9.36"/>
        <n v="-9.35"/>
        <n v="-9.9"/>
        <n v="6.69"/>
        <n v="-9.4"/>
        <n v="-14.1"/>
        <n v="-14.75"/>
        <n v="-14.78"/>
        <n v="-14.86"/>
        <n v="-8.95"/>
        <n v="-8.98"/>
        <n v="-8.42"/>
        <n v="7.12"/>
        <n v="-3.39"/>
        <n v="-2.94"/>
        <n v="-3.41"/>
        <n v="-7.84"/>
        <n v="-3.22"/>
        <n v="-3.47"/>
        <n v="-7.26"/>
        <n v="-8.05"/>
        <n v="-7.32"/>
        <n v="-7.8"/>
        <n v="-8.14"/>
        <n v="-8.04"/>
        <n v="6.99"/>
        <n v="7.1"/>
        <n v="7.0"/>
        <n v="7.13"/>
        <n v="7.06"/>
        <n v="7.16"/>
        <n v="-8.75"/>
        <n v="-8.86"/>
        <n v="-8.78"/>
        <n v="-8.94"/>
        <n v="-8.76"/>
        <n v="7.27"/>
        <n v="7.18"/>
        <n v="7.26"/>
        <n v="7.14"/>
        <n v="7.29"/>
        <n v="7.17"/>
        <n v="7.21"/>
        <n v="-14.26"/>
        <n v="7.68"/>
        <n v="-10.25"/>
        <n v="-9.78"/>
        <n v="-9.63"/>
        <n v="-8.06"/>
        <n v="-9.85"/>
        <n v="-9.61"/>
        <n v="-9.49"/>
        <n v="-6.3"/>
        <n v="-6.0"/>
        <n v="-5.99"/>
        <n v="-6.18"/>
        <n v="11.61"/>
        <n v="13.41"/>
        <n v="13.34"/>
        <n v="12.94"/>
        <n v="12.75"/>
        <n v="13.2"/>
        <n v="11.97"/>
        <n v="11.73"/>
        <n v="11.65"/>
        <n v="11.06"/>
        <n v="10.83"/>
        <n v="10.87"/>
        <n v="10.15"/>
        <n v="-0.25"/>
        <n v="-1.03"/>
        <n v="2.98"/>
        <n v="1.68"/>
        <n v="-1.18"/>
        <n v="-1.89"/>
        <n v="-0.82"/>
        <n v="-0.27"/>
        <n v="-4.42"/>
        <n v="6.32"/>
        <n v="6.26"/>
        <n v="6.34"/>
        <n v="6.01"/>
        <n v="5.9"/>
        <n v="5.95"/>
        <n v="5.81"/>
        <n v="5.72"/>
        <n v="5.98"/>
        <n v="5.79"/>
        <n v="5.82"/>
        <n v="5.87"/>
        <n v="5.93"/>
        <n v="5.89"/>
        <n v="1.2"/>
        <n v="0.92"/>
        <n v="1.16"/>
        <n v="0.28"/>
        <n v="-6.4"/>
        <n v="-5.66"/>
        <n v="-5.57"/>
        <n v="-5.32"/>
        <n v="2.37"/>
        <n v="7.34"/>
        <n v="-10.27"/>
        <n v="-10.33"/>
        <n v="-8.52"/>
        <n v="-8.27"/>
        <n v="-6.8"/>
        <n v="-6.2"/>
        <n v="-5.41"/>
        <n v="-5.49"/>
        <n v="-5.74"/>
        <n v="-8.24"/>
        <n v="-8.72"/>
        <n v="-7.9"/>
        <n v="-7.82"/>
        <n v="-7.39"/>
        <n v="-7.23"/>
        <n v="-6.83"/>
        <n v="-6.97"/>
        <n v="-6.9"/>
        <n v="-6.82"/>
        <n v="-6.86"/>
        <n v="13.04"/>
        <n v="13.13"/>
        <n v="13.38"/>
        <n v="13.48"/>
        <n v="13.37"/>
        <n v="13.33"/>
        <n v="13.14"/>
        <n v="13.28"/>
        <n v="13.29"/>
        <n v="13.32"/>
        <n v="-3.8"/>
        <n v="-6.16"/>
        <n v="-6.09"/>
        <n v="-6.25"/>
        <n v="-6.32"/>
        <n v="-5.95"/>
        <n v="-6.29"/>
        <n v="-5.98"/>
        <n v="-6.07"/>
        <n v="-6.19"/>
        <n v="13.53"/>
        <n v="-6.36"/>
        <n v="-3.63"/>
        <n v="-3.58"/>
        <n v="-6.1"/>
        <n v="-3.61"/>
        <n v="-6.21"/>
        <n v="-3.55"/>
        <n v="-3.65"/>
        <n v="13.75"/>
        <n v="-8.28"/>
        <n v="-8.33"/>
        <n v="-8.16"/>
        <n v="-8.17"/>
        <n v="-8.18"/>
        <n v="-8.09"/>
        <n v="-7.91"/>
        <n v="-7.99"/>
        <n v="-8.0"/>
        <n v="14.34"/>
        <n v="14.37"/>
        <n v="14.4"/>
        <n v="14.36"/>
        <n v="14.42"/>
        <n v="14.32"/>
        <n v="14.26"/>
        <n v="14.38"/>
        <n v="14.31"/>
        <n v="14.3"/>
        <n v="14.35"/>
        <n v="14.33"/>
        <n v="14.39"/>
        <n v="14.14"/>
        <n v="14.19"/>
        <n v="14.08"/>
        <n v="14.13"/>
        <n v="14.06"/>
        <n v="14.11"/>
        <n v="14.17"/>
        <n v="14.1"/>
        <n v="13.7"/>
        <n v="14.0"/>
        <n v="13.95"/>
        <n v="13.88"/>
        <n v="13.8"/>
        <n v="-4.61"/>
        <n v="-5.78"/>
        <n v="-3.6"/>
        <n v="-4.89"/>
        <n v="-4.88"/>
        <n v="-4.87"/>
        <n v="13.52"/>
        <n v="-6.06"/>
        <n v="-6.11"/>
        <n v="-6.04"/>
        <n v="13.61"/>
        <n v="13.63"/>
        <n v="9.99"/>
        <n v="9.97"/>
        <n v="9.87"/>
        <n v="9.95"/>
        <n v="10.34"/>
        <n v="10.5"/>
        <n v="10.48"/>
        <n v="10.54"/>
        <n v="10.26"/>
        <n v="10.49"/>
        <n v="10.31"/>
        <n v="10.53"/>
        <n v="10.64"/>
        <n v="10.63"/>
        <n v="10.65"/>
        <n v="10.4"/>
        <n v="4.41"/>
        <n v="11.38"/>
        <n v="11.52"/>
        <n v="11.81"/>
        <n v="11.74"/>
        <n v="11.78"/>
        <n v="11.87"/>
        <n v="11.68"/>
        <n v="11.71"/>
        <n v="10.33"/>
        <n v="10.61"/>
        <n v="9.53"/>
        <n v="8.02"/>
        <n v="9.48"/>
        <n v="8.94"/>
        <n v="10.6"/>
        <n v="9.34"/>
        <n v="9.59"/>
        <n v="9.21"/>
        <n v="8.67"/>
        <n v="9.43"/>
        <n v="10.24"/>
        <n v="10.2"/>
        <n v="9.7"/>
        <n v="9.44"/>
        <n v="9.31"/>
        <n v="11.0"/>
        <n v="12.8"/>
        <n v="11.64"/>
        <n v="7.86"/>
        <n v="6.93"/>
        <n v="6.25"/>
        <n v="5.83"/>
        <n v="5.76"/>
        <n v="5.59"/>
        <n v="5.56"/>
        <n v="5.21"/>
        <n v="5.43"/>
        <n v="7.75"/>
        <n v="7.51"/>
      </sharedItems>
    </cacheField>
    <cacheField name="Daily Gross Profit Per Unit" numFmtId="0">
      <sharedItems containsSemiMixedTypes="0" containsString="0" containsNumber="1">
        <n v="-0.8996118353596015"/>
        <n v="-0.71651273198101"/>
        <n v="-0.4495332337565347"/>
        <n v="-0.43855222672064775"/>
        <n v="-0.6842740975803253"/>
        <n v="-0.6978257655755016"/>
        <n v="-0.7049963794351919"/>
        <n v="-0.7508594411515664"/>
        <n v="-0.7977948198524093"/>
        <n v="0.8208795986622073"/>
        <n v="0.9458214624881291"/>
        <n v="0.823353744700895"/>
        <n v="0.7893437281824529"/>
        <n v="0.821255364806867"/>
        <n v="0.800495696052241"/>
        <n v="0.8492504258943782"/>
        <n v="0.615353083017568"/>
        <n v="0.6240345242874348"/>
        <n v="0.6948790322580646"/>
        <n v="0.6822991122239928"/>
        <n v="0.6962408088235295"/>
        <n v="0.6415431846090872"/>
        <n v="0.5811599696739954"/>
        <n v="0.3808802816901408"/>
        <n v="0.594957264957265"/>
        <n v="0.623721881390593"/>
        <n v="0.5802266725352113"/>
        <n v="0.5367065127782358"/>
        <n v="0.4611572980632971"/>
        <n v="0.43821815718157175"/>
        <n v="0.4705471124620061"/>
        <n v="0.466453488372093"/>
        <n v="0.517213399503722"/>
        <n v="0.5228902714932127"/>
        <n v="0.5924879518072289"/>
        <n v="0.6411119064662372"/>
        <n v="0.42802835389866106"/>
        <n v="-1.3745194309507285"/>
        <n v="0.11120211360634083"/>
        <n v="-1.2898912106850495"/>
        <n v="-1.4051145116565678"/>
        <n v="-1.5259836656257506"/>
        <n v="-1.5600109841827767"/>
        <n v="-1.0367737296260786"/>
        <n v="-0.6870200516180266"/>
        <n v="-0.6423573608828363"/>
        <n v="-0.6375590020229265"/>
        <n v="-0.5510351217790328"/>
        <n v="-0.6986285437363702"/>
        <n v="-0.44886212088621213"/>
        <n v="1.3083527965580823"/>
        <n v="-0.39903992685156964"/>
        <n v="1.3013679653679653"/>
        <n v="-0.42577739236890433"/>
        <n v="-1.1153346295538271"/>
        <n v="-0.529519906323185"/>
        <n v="-0.33102289332683876"/>
        <n v="-0.36785209744846475"/>
        <n v="-0.45609316411883477"/>
        <n v="-1.9523524634542502"/>
        <n v="-1.191073780341264"/>
        <n v="-0.9618780764861795"/>
        <n v="-1.1098473740335912"/>
        <n v="-1.10992241175077"/>
        <n v="-1.3258667892532434"/>
        <n v="-1.351402401287288"/>
        <n v="-0.06546332807570977"/>
        <n v="-1.2684062950999933"/>
        <n v="-1.313012544582462"/>
        <n v="-1.2675691474194468"/>
        <n v="-1.2776768920734436"/>
        <n v="-0.7592853407704376"/>
        <n v="-0.9237726579705234"/>
        <n v="-0.8526918512658228"/>
        <n v="-0.8896663105120407"/>
        <n v="-1.014334105566339"/>
        <n v="-0.9433338117106773"/>
        <n v="-0.9456031491860155"/>
        <n v="1.580402659770964"/>
        <n v="1.5665301478953355"/>
        <n v="1.5635113614294038"/>
        <n v="1.5554577157802962"/>
        <n v="1.570628038897893"/>
        <n v="1.5642436345481776"/>
        <n v="1.5818209212225571"/>
        <n v="0.7411643118785975"/>
        <n v="0.8278587015821058"/>
        <n v="0.3572565622353937"/>
        <n v="0.5687416974169741"/>
        <n v="0.486636242631679"/>
        <n v="0.697152995199332"/>
        <n v="0.6532366111409637"/>
        <n v="0.6756841369671559"/>
        <n v="0.4927825136612022"/>
        <n v="0.37000500375281464"/>
        <n v="0.5069431450161929"/>
        <n v="0.5648370253164557"/>
        <n v="0.6770496083550914"/>
        <n v="0.2920991177996886"/>
        <n v="1.065262227460224"/>
        <n v="1.0001627841706426"/>
        <n v="-0.7345743494423792"/>
        <n v="-0.7701566906925729"/>
        <n v="-0.7729848888888888"/>
        <n v="-0.7351342685370742"/>
        <n v="-0.7848089500860584"/>
        <n v="-0.8204801920768308"/>
        <n v="-0.8501235687563767"/>
        <n v="-0.8543912664706523"/>
        <n v="-0.8520107604017217"/>
        <n v="-0.8585786942851859"/>
        <n v="-0.8490084572761738"/>
        <n v="-0.8780016549441457"/>
        <n v="-0.8879616438356165"/>
        <n v="0.803752002563281"/>
        <n v="0.794813100747597"/>
        <n v="0.39994377415954085"/>
        <n v="0.4744061396028749"/>
        <n v="0.5352561247216036"/>
        <n v="0.4641331096196868"/>
        <n v="0.3775439978986078"/>
        <n v="0.9562778535698044"/>
        <n v="0.9050780640124902"/>
        <n v="1.4294717310630867"/>
        <n v="1.037286989450906"/>
        <n v="0.5603860711582135"/>
        <n v="0.45239695624603676"/>
        <n v="1.1108513838748495"/>
        <n v="-0.5370115801270078"/>
        <n v="0.9836861721953037"/>
        <n v="-2.423953687821612"/>
        <n v="-2.522028408236886"/>
        <n v="-2.511023813380852"/>
        <n v="-2.5511745975588185"/>
        <n v="-2.5597579391516767"/>
        <n v="-2.7151815128738206"/>
        <n v="-2.347912702188392"/>
        <n v="-2.044588771333694"/>
        <n v="-1.8048994067578026"/>
        <n v="-1.5451196265318032"/>
        <n v="-1.3514613015017327"/>
        <n v="-1.7341693693693692"/>
        <n v="-1.5785601317957167"/>
        <n v="0.1355656240865244"/>
        <n v="-1.4011625821876867"/>
        <n v="-1.2858449553279583"/>
        <n v="-1.015346153846154"/>
        <n v="-1.0986744668246446"/>
        <n v="-1.1909511604727323"/>
        <n v="-1.2149927431059506"/>
        <n v="-1.1925279156327544"/>
        <n v="-1.1831969047771314"/>
        <n v="-1.1989667110519306"/>
        <n v="-1.2127516210882436"/>
        <n v="-1.230446590223295"/>
        <n v="-1.2418878998337082"/>
        <n v="-1.178871293800539"/>
        <n v="-1.354833131592599"/>
        <n v="-1.3431704608550805"/>
        <n v="-1.2688627065946654"/>
        <n v="-1.2393788305449727"/>
        <n v="-0.9198183744513394"/>
        <n v="-1.1815366228444597"/>
        <n v="-1.2255682446122673"/>
        <n v="-1.2012419768934532"/>
        <n v="-1.1984168666438122"/>
        <n v="-1.268873516446253"/>
        <n v="-1.3334158203404376"/>
        <n v="-1.3362197650310987"/>
        <n v="-1.3142551266586247"/>
        <n v="-1.3556710709318498"/>
        <n v="-1.6233091112353268"/>
        <n v="-0.3571760091518222"/>
        <n v="-0.5800470702807986"/>
        <n v="-0.10661021170610212"/>
        <n v="-0.21965158480522623"/>
        <n v="1.3310601719197708"/>
        <n v="1.3443410368519675"/>
        <n v="1.3143655778894472"/>
        <n v="1.1755280659749934"/>
        <n v="1.2360378715244487"/>
        <n v="1.1228668171557563"/>
        <n v="1.244562125748503"/>
        <n v="1.2327649231965778"/>
        <n v="1.0518294314381271"/>
        <n v="0.9461717285339333"/>
        <n v="0.9518685244730262"/>
        <n v="0.9438569299552906"/>
        <n v="0.9494705294705295"/>
        <n v="0.9799339095068632"/>
        <n v="0.9838720103425985"/>
        <n v="0.987627408993576"/>
        <n v="0.9189993261455526"/>
        <n v="0.8849228758169935"/>
        <n v="0.9138016237204377"/>
        <n v="0.9407470049330515"/>
        <n v="0.925676429567643"/>
        <n v="0.9056067344345616"/>
        <n v="-1.6797243523316063"/>
        <n v="0.8574772431729519"/>
        <n v="0.8443941523755975"/>
        <n v="-1.7395991983967936"/>
        <n v="0.8475"/>
        <n v="0.8463838383838385"/>
        <n v="0.8621199011124846"/>
        <n v="-1.5634919702311005"/>
        <n v="1.173081714913888"/>
        <n v="-1.4192287853054035"/>
        <n v="-1.3884650867785275"/>
        <n v="-1.332043377604484"/>
        <n v="-1.3166589044133954"/>
        <n v="-1.3219425778863776"/>
        <n v="-1.292115699770567"/>
        <n v="-1.2861297760210804"/>
        <n v="-1.2957354110351407"/>
        <n v="-1.2946110193974412"/>
        <n v="-1.290755832365671"/>
        <n v="-1.3016311548791406"/>
        <n v="-1.2927573847484861"/>
        <n v="1.323608336951802"/>
        <n v="1.3252086868001356"/>
        <n v="-1.2618667848176046"/>
        <n v="-1.2491738163330155"/>
        <n v="-1.237509946949602"/>
        <n v="-1.2276012852752165"/>
        <n v="-1.213189493433396"/>
        <n v="-1.2173358502954694"/>
        <n v="-1.2358596171376481"/>
        <n v="-1.2502598203880169"/>
        <n v="-1.2796643893084023"/>
        <n v="-1.312891598915989"/>
        <n v="-1.310824008138352"/>
        <n v="-1.3457032989273425"/>
        <n v="-0.6087827606290042"/>
        <n v="-0.6151765422077923"/>
        <n v="-0.6390671146874171"/>
        <n v="-0.7064276794240799"/>
        <n v="-0.6157222914072229"/>
        <n v="-0.7257273780680501"/>
        <n v="-2.235990287439296"/>
        <n v="-3.3250117858345494"/>
        <n v="-3.464571428571429"/>
        <n v="-3.464854273437904"/>
        <n v="-3.4616979836979835"/>
        <n v="-3.468281813498197"/>
        <n v="-3.5060084684498607"/>
        <n v="-3.5321666339676936"/>
        <n v="-3.5174"/>
        <n v="-3.528647186147186"/>
        <n v="-3.524689760882894"/>
        <n v="-3.5288268001112035"/>
        <n v="-3.534727034120735"/>
        <n v="-3.5375596883639107"/>
        <n v="0.7646845560947759"/>
        <n v="0.740925678682688"/>
        <n v="0.684997528423134"/>
        <n v="0.6313649222065064"/>
        <n v="0.626939400122424"/>
        <n v="0.6028860964734495"/>
        <n v="0.6241666666666666"/>
        <n v="0.6108505263157895"/>
        <n v="0.6157339667458431"/>
        <n v="0.5777295660948537"/>
        <n v="0.4797037037037037"/>
        <n v="0.5003262605521333"/>
        <n v="0.5033117183881427"/>
        <n v="0.44841435185185186"/>
        <n v="0.3938116449252307"/>
        <n v="-2.1133188787362553"/>
        <n v="-2.228671075278558"/>
        <n v="-2.2464476602350856"/>
        <n v="-2.313272335278961"/>
        <n v="-2.3539556419343772"/>
        <n v="-2.4052853811218853"/>
        <n v="-2.428276549474447"/>
        <n v="-2.4478063284233498"/>
        <n v="-2.4522078190719165"/>
        <n v="-2.4550131364944323"/>
        <n v="-2.454901349948079"/>
        <n v="-2.459105549762484"/>
        <n v="-2.464021072631488"/>
        <n v="1.8146873530794547"/>
        <n v="1.7509880395215809"/>
        <n v="1.8566642933428266"/>
        <n v="1.8572582294009405"/>
        <n v="1.8216923895689197"/>
        <n v="1.8333654425045152"/>
        <n v="1.867555084745763"/>
        <n v="1.7194086589229145"/>
        <n v="1.713055242390079"/>
        <n v="1.5985796989579313"/>
        <n v="1.2475159429092013"/>
        <n v="1.0856582086315334"/>
        <n v="1.1268881685575365"/>
        <n v="1.0288856833754056"/>
        <n v="1.0556092362344582"/>
        <n v="0.9492336171788227"/>
        <n v="1.0231233496793664"/>
        <n v="1.0342884530305265"/>
        <n v="1.0415820099405988"/>
        <n v="1.079808680753855"/>
        <n v="1.1479691061028108"/>
        <n v="1.010476386036961"/>
        <n v="0.8419937275985663"/>
        <n v="0.7436195995785038"/>
        <n v="0.7345558739255014"/>
        <n v="0.7153491827637445"/>
        <n v="0.7008023774145618"/>
        <n v="0.7324278803081885"/>
        <n v="3.293068678046844"/>
        <n v="2.6443367623172715"/>
        <n v="1.031342572542226"/>
        <n v="0.9749059645351961"/>
        <n v="0.9434114339268979"/>
        <n v="1.0778861788617886"/>
        <n v="1.0593700396825396"/>
        <n v="0.872745490981964"/>
        <n v="0.8728462709284628"/>
        <n v="0.7066166439290588"/>
        <n v="0.7061420682730923"/>
        <n v="0.7886776343190337"/>
        <n v="0.9745314823996034"/>
        <n v="0.8247888550282978"/>
        <n v="0.8849489489489489"/>
        <n v="0.8671959721146397"/>
        <n v="0.7367670830271859"/>
        <n v="5.293848555815769"/>
        <n v="5.63180926916221"/>
        <n v="5.870624151967435"/>
        <n v="5.232886115444618"/>
        <n v="5.016993801652893"/>
        <n v="6.088265162200282"/>
        <n v="5.746556818181818"/>
        <n v="5.625574817518248"/>
        <n v="4.081905222437137"/>
        <n v="3.3094484210526316"/>
        <n v="3.1473796147672553"/>
        <n v="1.2378341013824885"/>
        <n v="1.0848878923766816"/>
        <n v="0.3608114035087719"/>
        <n v="0.1383960292580982"/>
        <n v="-1.2294077025232404"/>
        <n v="-2.665324483775811"/>
        <n v="-0.4321062106210621"/>
        <n v="-0.8537399247716281"/>
        <n v="-1.8324078144078144"/>
        <n v="-3.1488188597546305"/>
        <n v="-3.0505593056894886"/>
        <n v="-3.4404070851460538"/>
        <n v="-3.2010384283246975"/>
        <n v="-3.029970031330881"/>
        <n v="-3.141411327762303"/>
        <n v="-3.163394566623545"/>
        <n v="-3.607532148260212"/>
        <n v="-3.525161742052934"/>
        <n v="-3.6539949201741653"/>
        <n v="-3.702070028628055"/>
        <n v="-1.1216254487435182"/>
        <n v="-1.3155579840575984"/>
        <n v="-0.8196096197815226"/>
        <n v="-0.849058014354067"/>
        <n v="-0.7916167664670658"/>
        <n v="-0.8301307922272048"/>
        <n v="-0.8535360763267741"/>
        <n v="-0.8329039233858512"/>
        <n v="-3.4482361334046723"/>
        <n v="-3.4824640743871513"/>
        <n v="-3.4454423407917383"/>
        <n v="-3.4056685177274666"/>
        <n v="-3.4408161983989953"/>
        <n v="-3.467266435986159"/>
        <n v="-3.4186461430820363"/>
        <n v="-3.3570159404888416"/>
        <n v="-0.768490099009901"/>
        <n v="-0.8422483940042826"/>
        <n v="-0.8592918882978723"/>
        <n v="-0.8811281526925698"/>
        <n v="-0.8603550295857988"/>
        <n v="-0.8402526724975704"/>
        <n v="-0.8448726114649682"/>
        <n v="-0.7952766251728908"/>
        <n v="-0.6543414888079125"/>
        <n v="-0.7128492697712868"/>
        <n v="-0.7053450772200772"/>
        <n v="-0.6940220385674931"/>
        <n v="-0.44166742804933756"/>
        <n v="-0.5502946127946128"/>
        <n v="-0.8840065573770491"/>
        <n v="-0.8670544554455446"/>
        <n v="-0.8945701357466064"/>
        <n v="-0.8716757457846952"/>
        <n v="-0.8976120189773327"/>
        <n v="-0.8868520179372198"/>
        <n v="-0.8671229946524064"/>
        <n v="-0.8910378006872852"/>
        <n v="-0.8773132183908047"/>
        <n v="-0.8204773561811506"/>
        <n v="-0.7447799259563965"/>
        <n v="-0.7641128451380552"/>
        <n v="-0.6543772048846676"/>
        <n v="-0.6303025413473174"/>
        <n v="-0.35824937655860345"/>
        <n v="-0.17466131907308377"/>
        <n v="-0.016950048030739674"/>
        <n v="0.09939370384764866"/>
        <n v="-0.002576099210822999"/>
        <n v="0.340878889823381"/>
        <n v="-2.6802909980962744"/>
        <n v="-2.6749755757152824"/>
        <n v="-2.5139412084921067"/>
        <n v="-2.5091688584955287"/>
        <n v="-2.450667437928273"/>
        <n v="-2.442497225305216"/>
        <n v="-2.431920971604516"/>
        <n v="-2.359711823323458"/>
        <n v="-2.2657166276346605"/>
        <n v="-2.219903318526261"/>
        <n v="-2.2096036036036035"/>
        <n v="-2.203348352576739"/>
        <n v="-2.208267738359202"/>
        <n v="0.4522558139534884"/>
        <n v="-2.1316877470355733"/>
        <n v="-2.1070188463735007"/>
        <n v="-2.160944617597698"/>
        <n v="-2.1403457577243747"/>
        <n v="-2.5959412650602407"/>
        <n v="-2.9204336322210787"/>
        <n v="-2.8941054492846807"/>
        <n v="-2.931669944032673"/>
        <n v="-3.0124448341370744"/>
        <n v="-3.0073017107309488"/>
        <n v="-3.1039786756453425"/>
        <n v="-3.115811492555679"/>
        <n v="0.2400472016183412"/>
        <n v="0.27995801259622116"/>
        <n v="0.2805862977602108"/>
        <n v="0.30714285714285716"/>
        <n v="0.2802830188679245"/>
        <n v="0.26838415702769014"/>
        <n v="0.27829368334700577"/>
        <n v="0.21427958307786635"/>
        <n v="0.262378764675855"/>
        <n v="0.2932357723577236"/>
        <n v="0.24274111675126905"/>
        <n v="0.22091428571428573"/>
        <n v="0.18178070548236294"/>
        <n v="0.18038683406854428"/>
        <n v="0.12176506765067652"/>
        <n v="0.10634615384615384"/>
        <n v="-3.416195652173913"/>
        <n v="-3.4272076372315037"/>
        <n v="-3.4847260161263782"/>
        <n v="-3.4384508842957597"/>
        <n v="-3.4379697890156806"/>
        <n v="-3.411979114030655"/>
        <n v="-3.4377655099894846"/>
        <n v="-3.338711389449103"/>
        <n v="-3.3004838343302794"/>
        <n v="-3.300063371356147"/>
        <n v="-3.2489520847219135"/>
        <n v="-3.261385849056604"/>
        <n v="-3.27421888053467"/>
        <n v="-3.2958995037220844"/>
        <n v="-0.36245400183992643"/>
        <n v="0.1381232150142799"/>
        <n v="0.14503307607497243"/>
        <n v="0.14913357400722022"/>
        <n v="0.15105143229166665"/>
        <n v="0.15472078593588418"/>
        <n v="0.21648340762753837"/>
        <n v="0.853758937691522"/>
        <n v="0.936008583690987"/>
        <n v="0.9784808013355593"/>
        <n v="1.0072313883299797"/>
        <n v="1.039624842370744"/>
        <n v="1.0510086840347361"/>
        <n v="1.1183369963369962"/>
        <n v="1.258070953436807"/>
        <n v="-2.188482116894446"/>
        <n v="1.3000557880055787"/>
        <n v="-2.1146637426900585"/>
        <n v="-2.9232874315276933"/>
        <n v="-2.0457501448156017"/>
        <n v="-1.9994894295971282"/>
        <n v="-2.0752552674230142"/>
        <n v="-2.0385398058252426"/>
        <n v="-2.0798257560584816"/>
        <n v="-2.048660431321017"/>
        <n v="-2.880068756650569"/>
        <n v="-2.0441065317661065"/>
        <n v="-1.9839828564529762"/>
        <n v="-1.902434178646422"/>
        <n v="-2.8974089612351066"/>
        <n v="0.5017169943820226"/>
        <n v="-2.855034293552812"/>
        <n v="-2.890407590279795"/>
        <n v="-2.8814172335600907"/>
        <n v="-2.8977591782385392"/>
        <n v="-2.902895662368113"/>
        <n v="-2.9066780045351477"/>
        <n v="-2.895144230769231"/>
        <n v="-2.8976457754859184"/>
        <n v="-2.9067438890915724"/>
        <n v="-2.9077529286474975"/>
        <n v="-2.8991392891450527"/>
        <n v="-2.7226992853216054"/>
        <n v="-2.820186618115612"/>
        <n v="1.412082504970179"/>
        <n v="-2.8930917194463994"/>
        <n v="-2.903827505407354"/>
        <n v="-2.868763644464246"/>
        <n v="-2.904971302428256"/>
        <n v="-2.902487223168654"/>
        <n v="-2.8973903610723695"/>
        <n v="-2.900762564991335"/>
        <n v="-2.8867346286079796"/>
        <n v="-2.9094797927461142"/>
        <n v="-2.880766157797118"/>
        <n v="-2.914213723477071"/>
        <n v="-2.9166117567415095"/>
        <n v="-2.8897985450475656"/>
        <n v="-2.869322193015396"/>
        <n v="-2.8909041800643087"/>
        <n v="-2.8829508373851973"/>
        <n v="-2.88896174863388"/>
        <n v="1.3947416762342135"/>
        <n v="1.4995245901639345"/>
        <n v="1.4936186540731995"/>
        <n v="1.4915834348355663"/>
        <n v="1.5538319783197834"/>
        <n v="1.5354564032697546"/>
        <n v="1.5661244979919677"/>
        <n v="1.5571267922406522"/>
        <n v="1.5311858037578288"/>
        <n v="1.6195283018867925"/>
        <n v="1.638832"/>
        <n v="1.7463359004739336"/>
        <n v="1.742331760615843"/>
        <n v="1.7530263157894737"/>
        <n v="1.738435972629521"/>
        <n v="1.802509702457956"/>
        <n v="-2.414968107725018"/>
        <n v="-2.368326824254882"/>
        <n v="-2.3268520710059173"/>
        <n v="-2.3308300921187306"/>
        <n v="-2.3293894993894995"/>
        <n v="-2.3519612314709235"/>
        <n v="-2.3482939399324687"/>
        <n v="-2.3518340341330695"/>
        <n v="-2.3467856604910375"/>
        <n v="-2.2779434121621622"/>
        <n v="-2.2309397417503587"/>
        <n v="-2.193820549927641"/>
        <n v="-2.217176700717235"/>
        <n v="-2.2393069858057335"/>
        <n v="-0.07684484389782402"/>
        <n v="-0.6109515859766278"/>
        <n v="-0.5951298904538341"/>
        <n v="-0.4301474269819194"/>
        <n v="-0.8829993183367416"/>
        <n v="-0.8439316770186336"/>
        <n v="-0.9708416220351952"/>
        <n v="-0.6847951219512195"/>
        <n v="-1.0005732828555975"/>
        <n v="-1.1287915309446255"/>
        <n v="-0.9187688139674894"/>
        <n v="-0.9636125126135218"/>
        <n v="-0.8035086737548964"/>
        <n v="-1.0177356446370531"/>
        <n v="-1.0192119089316989"/>
        <n v="-1.4555478662053056"/>
        <n v="-1.454013501073949"/>
        <n v="-1.3752659574468085"/>
        <n v="-1.599895685158843"/>
        <n v="-1.516471900089206"/>
        <n v="-1.4364246947082768"/>
        <n v="-1.5082259232440263"/>
        <n v="-1.356760365425158"/>
        <n v="-1.2949893048128343"/>
        <n v="-1.2111093644733886"/>
        <n v="-1.1843755535872453"/>
        <n v="-0.9510848601735776"/>
        <n v="-1.3676432486297958"/>
        <n v="-1.3043429158110884"/>
        <n v="-1.3651092611862643"/>
        <n v="-1.0948477979274611"/>
        <n v="-1.1373760330578513"/>
        <n v="-1.272988683127572"/>
        <n v="-1.4887693156732893"/>
        <n v="-1.504376199616123"/>
        <n v="-1.836780529461998"/>
        <n v="-1.8850338164251208"/>
        <n v="-1.826791277258567"/>
        <n v="-1.7002444589308998"/>
        <n v="-1.8934137191854234"/>
        <n v="-1.8409349112426034"/>
        <n v="-1.8177874186550975"/>
        <n v="-1.4402317880794702"/>
        <n v="-1.014339035769829"/>
        <n v="-0.9973429710867399"/>
        <n v="-0.9270825550989915"/>
        <n v="-0.39135650988411724"/>
        <n v="-0.22428010471204188"/>
        <n v="-4.605718553459119"/>
        <n v="-3.9369595519601743"/>
        <n v="-3.612521348314607"/>
        <n v="-3.4549143865842895"/>
        <n v="-3.217901216256304"/>
        <n v="-3.027652629798748"/>
        <n v="-3.0254624009875526"/>
        <n v="-2.9577000977169763"/>
        <n v="-2.775680063353791"/>
        <n v="-2.7453741496598636"/>
        <n v="-2.6086402979066023"/>
        <n v="-2.603736728366062"/>
        <n v="-2.4850499999999998"/>
        <n v="-2.59878156082632"/>
        <n v="2.015082872928177"/>
        <n v="1.9390973992860787"/>
        <n v="2.508311688311688"/>
        <n v="1.9964357338195078"/>
        <n v="2.0700204220558205"/>
        <n v="2.0700965018094086"/>
        <n v="1.8842588412340104"/>
        <n v="1.846823076923077"/>
        <n v="2.0559637774902977"/>
        <n v="2.193407894736842"/>
        <n v="2.0641937321937323"/>
        <n v="2.143255945639864"/>
        <n v="2.0653803339517625"/>
        <n v="2.5071263345195733"/>
        <n v="2.3625803722504233"/>
        <n v="-3.5976053691275167"/>
        <n v="-3.933225734639359"/>
        <n v="-4.125396192203083"/>
        <n v="-4.3984564969604865"/>
        <n v="-4.517693564862104"/>
        <n v="-4.489265734265734"/>
        <n v="-4.628472481343284"/>
        <n v="-4.630774785927989"/>
        <n v="-4.72221052631579"/>
        <n v="-4.656896581051199"/>
        <n v="-4.771197068403909"/>
        <n v="-4.841035332785538"/>
        <n v="-4.796135024920707"/>
        <n v="-4.772864677516576"/>
        <n v="1.2487916152897658"/>
        <n v="1.23880291005291"/>
        <n v="1.2350949859856741"/>
        <n v="1.2352057951926243"/>
        <n v="1.2333997252747253"/>
        <n v="1.2396791808873722"/>
        <n v="1.2374557956777996"/>
        <n v="1.239785046728972"/>
        <n v="1.2465954310980103"/>
        <n v="1.237487544483986"/>
        <n v="1.2383916578296217"/>
        <n v="1.2331443638760713"/>
        <n v="1.2361186561829878"/>
        <n v="1.2357357075913777"/>
        <n v="1.2331520940484937"/>
        <n v="1.2350105708245243"/>
        <n v="-1.3399464498214995"/>
        <n v="-1.3522497089639116"/>
        <n v="-1.335242386575513"/>
        <n v="-1.4380011951000895"/>
        <n v="-1.612754170601196"/>
        <n v="-3.397857458075905"/>
        <n v="-1.6409346951408232"/>
        <n v="-1.622781011512094"/>
        <n v="-3.424526372443488"/>
        <n v="-1.764767395093176"/>
        <n v="-1.6894710224166212"/>
        <n v="-1.7510535405872194"/>
        <n v="-3.352331181294713"/>
        <n v="-1.5686693017127797"/>
        <n v="-1.5798866368945381"/>
        <n v="-3.3392913484412166"/>
        <n v="-1.6757060439560438"/>
        <n v="1.8366809238665525"/>
        <n v="-3.3085443376068375"/>
        <n v="-3.266522770398482"/>
        <n v="-3.310765"/>
        <n v="-3.2464278714229717"/>
        <n v="-3.25685671835825"/>
        <n v="-3.3194940662086196"/>
        <n v="-3.257185640618802"/>
        <n v="-3.2834223859972367"/>
        <n v="-3.3153522132317947"/>
        <n v="-3.281247892074199"/>
        <n v="-3.260319831913155"/>
        <n v="-3.314260583361707"/>
        <n v="-3.474342922899885"/>
        <n v="2.7546670108415077"/>
        <n v="-3.302259493670886"/>
        <n v="-3.306341709994223"/>
        <n v="-4.734248894640354"/>
        <n v="-4.9257946166829525"/>
        <n v="-4.935552653813657"/>
        <n v="-4.96648830368399"/>
        <n v="-3.142594638286407"/>
        <n v="-3.1367112657211664"/>
        <n v="-3.0286153628117916"/>
        <n v="-3.1510048848569436"/>
        <n v="-3.071339898207568"/>
        <n v="-2.9670447983608086"/>
        <n v="-2.73133514986376"/>
        <n v="2.9308507734303912"/>
        <n v="-1.251216300940439"/>
        <n v="-1.0901022548505506"/>
        <n v="-1.2582216066481995"/>
        <n v="-1.2846892564637868"/>
        <n v="-2.7735385268520485"/>
        <n v="-1.190171519744715"/>
        <n v="-1.280576882290562"/>
        <n v="-2.7127527366387634"/>
        <n v="-2.5855489749430522"/>
        <n v="-2.8451859196826974"/>
        <n v="-2.876327741935484"/>
        <n v="-2.6044646996838776"/>
        <n v="-2.7633934276586034"/>
        <n v="-2.872326744753538"/>
        <n v="-2.8403802324269436"/>
        <n v="2.8690205081114173"/>
        <n v="2.9173941299790354"/>
        <n v="2.876360565110565"/>
        <n v="2.9319175360158964"/>
        <n v="2.8999763593380616"/>
        <n v="2.943874458874459"/>
        <n v="-3.0728723867595815"/>
        <n v="-3.1079966358284272"/>
        <n v="-3.0727617094755018"/>
        <n v="-3.082113872286883"/>
        <n v="-3.109314079422383"/>
        <n v="-3.149000852151683"/>
        <n v="-3.1347813336733394"/>
        <n v="-3.073860162601626"/>
        <n v="2.9306205747605163"/>
        <n v="2.993556415929204"/>
        <n v="2.9185273708558213"/>
        <n v="2.952409896151497"/>
        <n v="2.933556864521975"/>
        <n v="2.991739572736521"/>
        <n v="2.9867769962763755"/>
        <n v="2.9362469586374695"/>
        <n v="2.9983322214809873"/>
        <n v="2.950117872807018"/>
        <n v="2.94713456577816"/>
        <n v="2.9206349911190057"/>
        <n v="2.9638056851930417"/>
        <n v="2.950215743440233"/>
        <n v="-4.7656302345058625"/>
        <n v="3.1646253071253074"/>
        <n v="-3.5067499359467074"/>
        <n v="-3.3464538545059717"/>
        <n v="-3.301951275568835"/>
        <n v="-3.0982096208983756"/>
        <n v="-2.7926702269692925"/>
        <n v="-2.7578579409417396"/>
        <n v="-2.5986143630962784"/>
        <n v="-3.295344537815126"/>
        <n v="-3.2107592049527534"/>
        <n v="-3.150671264367816"/>
        <n v="-3.168802324436127"/>
        <n v="-2.1598398225726956"/>
        <n v="-2.1048975622406636"/>
        <n v="-2.0132245181455115"/>
        <n v="-2.056499315861488"/>
        <n v="-2.0592675276752765"/>
        <n v="-2.055244645313421"/>
        <n v="-2.116554953178906"/>
        <n v="4.779785679493424"/>
        <n v="5.633802739726027"/>
        <n v="5.602360655737705"/>
        <n v="5.436612083568606"/>
        <n v="5.359931790499391"/>
        <n v="5.545921680993314"/>
        <n v="5.025904761904762"/>
        <n v="4.929625203693645"/>
        <n v="-1.8897107529255905"/>
        <n v="4.88848009650181"/>
        <n v="4.641822442072377"/>
        <n v="-2.1847656587473003"/>
        <n v="4.550173310225303"/>
        <n v="4.56792899408284"/>
        <n v="4.2590930053804765"/>
        <n v="-0.09373700858563036"/>
        <n v="-0.3746503178928247"/>
        <n v="1.1414407294832827"/>
        <n v="1.0552183990016046"/>
        <n v="1.464991309385863"/>
        <n v="0.6432763466042154"/>
        <n v="-0.45214240305149395"/>
        <n v="-0.7262435407773534"/>
        <n v="-0.666730083234245"/>
        <n v="-0.5216289222373807"/>
        <n v="-0.32221650809976854"/>
        <n v="-0.10599893730074389"/>
        <n v="-1.6733887733887733"/>
        <n v="-1.1507863031071655"/>
        <n v="2.653077765607886"/>
        <n v="2.6287107623318384"/>
        <n v="2.665967654986523"/>
        <n v="2.524760147601476"/>
        <n v="2.483306908267271"/>
        <n v="2.5009056956115776"/>
        <n v="2.4441515151515154"/>
        <n v="2.40506519558676"/>
        <n v="2.5161199510403915"/>
        <n v="2.427690246516613"/>
        <n v="2.442261420171868"/>
        <n v="2.4695398773006136"/>
        <n v="2.493578302712161"/>
        <n v="2.467794024157661"/>
        <n v="1.645142857142857"/>
        <n v="0.47981936854887675"/>
        <n v="1.0467179759377212"/>
        <n v="0.36428954423592497"/>
        <n v="0.4626603001364256"/>
        <n v="0.2696345975948196"/>
        <n v="0.11192575406032482"/>
        <n v="-2.3589232531500572"/>
        <n v="-2.0879600450196962"/>
        <n v="-2.0611954791467686"/>
        <n v="-1.8276725613234455"/>
        <n v="-1.9732583810302535"/>
        <n v="0.2803677130044843"/>
        <n v="0.9479296875"/>
        <n v="3.0866462010744438"/>
        <n v="-3.620373895309313"/>
        <n v="-3.641805444355484"/>
        <n v="-3.2829051434479193"/>
        <n v="-3.01551048005409"/>
        <n v="-2.9227632642068406"/>
        <n v="-2.721309931506849"/>
        <n v="-2.393324844368987"/>
        <n v="-2.186224733753532"/>
        <n v="-1.9072453957192632"/>
        <n v="-1.9338103429738738"/>
        <n v="-2.2142218896964514"/>
        <n v="-2.0193223102002795"/>
        <n v="-1.8941597337770384"/>
        <n v="-2.609570070276974"/>
        <n v="-2.9891615791615793"/>
        <n v="-2.8193728698023177"/>
        <n v="-2.8153389624096774"/>
        <n v="-2.9754318723638367"/>
        <n v="-2.957890667390125"/>
        <n v="-2.6973596395079773"/>
        <n v="-2.667847963406665"/>
        <n v="-2.5967526595744683"/>
        <n v="-2.526892125215825"/>
        <n v="-2.5842012779552714"/>
        <n v="-2.4696871390065462"/>
        <n v="-2.6166871535309713"/>
        <n v="-2.5565779511299755"/>
        <n v="-2.3360246293639406"/>
        <n v="-2.379560849598163"/>
        <n v="-2.3573177579464555"/>
        <n v="-2.3283481474962597"/>
        <n v="-2.3446514482081495"/>
        <n v="5.483571880937302"/>
        <n v="5.522185039370079"/>
        <n v="5.553677884615384"/>
        <n v="5.626352395672334"/>
        <n v="5.669847207586934"/>
        <n v="5.6391840897501275"/>
        <n v="5.6252450980392155"/>
        <n v="5.625632973503436"/>
        <n v="5.606752688172043"/>
        <n v="5.528630806845966"/>
        <n v="5.521910352187834"/>
        <n v="5.6059513466550825"/>
        <n v="5.586491747778248"/>
        <n v="5.588301500682129"/>
        <n v="5.605304136253042"/>
        <n v="-1.3343145161290322"/>
        <n v="-2.068218344155844"/>
        <n v="-2.1153128054740957"/>
        <n v="-2.1096074924698796"/>
        <n v="-2.0874659188955995"/>
        <n v="-2.1394764222184928"/>
        <n v="-2.1628110142630748"/>
        <n v="-2.043935295677539"/>
        <n v="-2.1498085679769536"/>
        <n v="-2.1523226600985224"/>
        <n v="-2.0525715859030838"/>
        <n v="-2.0816032747740065"/>
        <n v="-2.1123239553853836"/>
        <n v="-2.122044358727097"/>
        <n v="5.690244776119403"/>
        <n v="-2.1760398740818467"/>
        <n v="-1.2747154060207437"/>
        <n v="-1.257874826147427"/>
        <n v="-2.0911355951964556"/>
        <n v="-1.26719502916561"/>
        <n v="-1.3173158888589156"/>
        <n v="-1.311231172233137"/>
        <n v="-2.12569637670081"/>
        <n v="-1.2484519046790747"/>
        <n v="-1.268946190729888"/>
        <n v="-2.1115246338215714"/>
        <n v="-1.2825554685460716"/>
        <n v="-1.2555992189406882"/>
        <n v="-1.2199658022228554"/>
        <n v="5.779716684155299"/>
        <n v="-2.765807200929152"/>
        <n v="-2.782940773120768"/>
        <n v="-2.728162111215834"/>
        <n v="-2.8415795813883453"/>
        <n v="-2.729337547741341"/>
        <n v="-2.744880972199101"/>
        <n v="-2.730181245074862"/>
        <n v="-2.7277139825512853"/>
        <n v="-2.7002258784160627"/>
        <n v="-2.641174222940701"/>
        <n v="-2.6656192312990767"/>
        <n v="-2.6711884711184912"/>
        <n v="-2.6855906948456743"/>
        <n v="-2.5774532633650376"/>
        <n v="6.033948004836759"/>
        <n v="6.044486251808972"/>
        <n v="6.057215392838054"/>
        <n v="6.04438689217759"/>
        <n v="6.062422018348624"/>
        <n v="6.024474885844748"/>
        <n v="5.995683544303797"/>
        <n v="6.0436929460580915"/>
        <n v="6.051068062827226"/>
        <n v="6.020070609002648"/>
        <n v="6.042903525046382"/>
        <n v="6.015753871230644"/>
        <n v="6.037022222222222"/>
        <n v="6.019812992125984"/>
        <n v="6.024641148325359"/>
        <n v="6.0273452544704265"/>
        <n v="6.026087193460491"/>
        <n v="6.031111111111111"/>
        <n v="6.052958984375"/>
        <n v="6.025229885057471"/>
        <n v="5.949459962756052"/>
        <n v="5.967025931928688"/>
        <n v="5.9208007197480885"/>
        <n v="5.9414689016321125"/>
        <n v="5.914904593639576"/>
        <n v="5.935342377260982"/>
        <n v="5.962894580107207"/>
        <n v="5.930026041666667"/>
        <n v="5.910999091734786"/>
        <n v="5.765549828178694"/>
        <n v="5.8872470588235295"/>
        <n v="5.865230769230769"/>
        <n v="5.837770345596432"/>
        <n v="5.804392905866303"/>
        <n v="-1.9439911256422233"/>
        <n v="-1.3810149982560167"/>
        <n v="-1.5972393949358763"/>
        <n v="-1.9801029468536866"/>
        <n v="-1.8225643176733781"/>
        <n v="-1.258905140890514"/>
        <n v="-1.5291096305269534"/>
        <n v="-1.6910180995475113"/>
        <n v="-1.6575556242274414"/>
        <n v="-1.6895365633463737"/>
        <n v="-1.6847548476454295"/>
        <n v="-1.8327387569479534"/>
        <n v="-1.6286383442265795"/>
        <n v="5.689217391304348"/>
        <n v="-2.0546632854325164"/>
        <n v="-2.114358357153603"/>
        <n v="-2.1065876059749695"/>
        <n v="-2.0865986721832"/>
        <n v="-2.109527401819392"/>
        <n v="-2.109026113013699"/>
        <n v="-2.1248598369011216"/>
        <n v="-2.0623446082682855"/>
        <n v="-2.1277512795382774"/>
        <n v="-2.04414404432133"/>
        <n v="-2.106615740740741"/>
        <n v="-2.1470354633109983"/>
        <n v="-2.1559117427075543"/>
        <n v="-2.1274706793538396"/>
        <n v="5.726600331674958"/>
        <n v="5.734178814382896"/>
        <n v="4.029102764736567"/>
        <n v="4.022001897533206"/>
        <n v="3.978059454995871"/>
        <n v="4.020921766072812"/>
        <n v="4.008132450331126"/>
        <n v="4.173346456692913"/>
        <n v="4.235059405940594"/>
        <n v="4.2236872475476055"/>
        <n v="4.2499194198227235"/>
        <n v="4.23587044534413"/>
        <n v="4.247636363636364"/>
        <n v="4.141085106382978"/>
        <n v="4.2325543916196615"/>
        <n v="4.15818094321463"/>
        <n v="4.249127700300793"/>
        <n v="4.295109100585418"/>
        <n v="4.2842459654980525"/>
        <n v="4.294458408138839"/>
        <n v="4.1922093023255815"/>
        <n v="1.0298671726755217"/>
        <n v="1.1942698826597131"/>
        <n v="1.1579554079696395"/>
        <n v="1.2557262073863635"/>
        <n v="1.6493917428301295"/>
        <n v="4.591112994350283"/>
        <n v="4.642949520233625"/>
        <n v="4.698808184143222"/>
        <n v="4.771936781609195"/>
        <n v="4.734489889705882"/>
        <n v="4.749925536574683"/>
        <n v="4.785163551401869"/>
        <n v="4.711963578780681"/>
        <n v="4.719475446428571"/>
        <n v="4.174114583333333"/>
        <n v="5.048214971209213"/>
        <n v="4.555117428924598"/>
        <n v="4.092785281788542"/>
        <n v="3.4419400749063667"/>
        <n v="4.069069069069069"/>
        <n v="3.839077568134172"/>
        <n v="4.5541505131128845"/>
        <n v="3.9846247240618102"/>
        <n v="4.095273454868831"/>
        <n v="3.9371278317152103"/>
        <n v="3.70934375"/>
        <n v="4.025393617021276"/>
        <n v="4.212260606060606"/>
        <n v="4.363237900477165"/>
        <n v="4.354240254574384"/>
        <n v="4.13664449064449"/>
        <n v="4.028784568111983"/>
        <n v="3.974285714285714"/>
        <n v="4.700695546064673"/>
        <n v="5.47136654325143"/>
        <n v="4.971265323992995"/>
        <n v="3.3652206531332745"/>
        <n v="2.9643676993397663"/>
        <n v="2.6743072033898305"/>
        <n v="2.447311785573512"/>
        <n v="2.5020564669973293"/>
        <n v="2.4722127296027336"/>
        <n v="2.4029615991583375"/>
        <n v="2.3877010804321728"/>
        <n v="2.2367075773745997"/>
        <n v="2.273145979703357"/>
        <n v="2.1193204734765456"/>
        <n v="2.32941348973607"/>
        <n v="3.395199449793673"/>
        <n v="3.2904707884288147"/>
      </sharedItems>
    </cacheField>
    <cacheField name="Daily % Gross Profit Per Unit" numFmtId="0">
      <sharedItems containsSemiMixedTypes="0" containsString="0" containsNumber="1">
        <n v="-2.74"/>
        <n v="-2.21"/>
        <n v="-1.39"/>
        <n v="-1.35"/>
        <n v="-2.11"/>
        <n v="-2.15"/>
        <n v="-2.17"/>
        <n v="-2.32"/>
        <n v="-2.46"/>
        <n v="2.41"/>
        <n v="2.77"/>
        <n v="2.31"/>
        <n v="2.35"/>
        <n v="2.49"/>
        <n v="1.81"/>
        <n v="1.83"/>
        <n v="2.04"/>
        <n v="2.0"/>
        <n v="1.88"/>
        <n v="1.7"/>
        <n v="1.12"/>
        <n v="1.74"/>
        <n v="1.57"/>
        <n v="1.35"/>
        <n v="1.28"/>
        <n v="1.38"/>
        <n v="1.37"/>
        <n v="1.51"/>
        <n v="1.53"/>
        <n v="1.73"/>
        <n v="1.25"/>
        <n v="-4.23"/>
        <n v="0.33"/>
        <n v="-3.97"/>
        <n v="-4.33"/>
        <n v="-4.7"/>
        <n v="-4.81"/>
        <n v="-3.19"/>
        <n v="-2.12"/>
        <n v="-1.98"/>
        <n v="-1.96"/>
        <n v="-1.7"/>
        <n v="-1.38"/>
        <n v="3.83"/>
        <n v="-1.23"/>
        <n v="3.81"/>
        <n v="-1.31"/>
        <n v="-3.52"/>
        <n v="-1.63"/>
        <n v="-1.02"/>
        <n v="-1.13"/>
        <n v="-1.41"/>
        <n v="-6.28"/>
        <n v="-3.74"/>
        <n v="-3.0"/>
        <n v="-3.48"/>
        <n v="-4.18"/>
        <n v="-4.26"/>
        <n v="-0.2"/>
        <n v="-4.11"/>
        <n v="-3.96"/>
        <n v="-3.99"/>
        <n v="-2.33"/>
        <n v="-2.84"/>
        <n v="-2.62"/>
        <n v="-2.73"/>
        <n v="-3.13"/>
        <n v="-2.9"/>
        <n v="-2.91"/>
        <n v="4.51"/>
        <n v="4.47"/>
        <n v="4.46"/>
        <n v="4.44"/>
        <n v="4.48"/>
        <n v="4.52"/>
        <n v="2.18"/>
        <n v="2.42"/>
        <n v="1.06"/>
        <n v="1.67"/>
        <n v="1.43"/>
        <n v="1.91"/>
        <n v="1.98"/>
        <n v="1.45"/>
        <n v="1.09"/>
        <n v="1.48"/>
        <n v="1.64"/>
        <n v="1.96"/>
        <n v="0.85"/>
        <n v="3.04"/>
        <n v="2.85"/>
        <n v="-2.2"/>
        <n v="-2.31"/>
        <n v="-2.35"/>
        <n v="-2.55"/>
        <n v="-2.56"/>
        <n v="-2.58"/>
        <n v="-2.63"/>
        <n v="-2.66"/>
        <n v="2.29"/>
        <n v="2.27"/>
        <n v="1.15"/>
        <n v="1.54"/>
        <n v="1.34"/>
        <n v="2.72"/>
        <n v="2.57"/>
        <n v="4.0"/>
        <n v="2.92"/>
        <n v="1.59"/>
        <n v="1.29"/>
        <n v="3.09"/>
        <n v="-1.57"/>
        <n v="2.74"/>
        <n v="-7.46"/>
        <n v="-7.77"/>
        <n v="-7.73"/>
        <n v="-7.86"/>
        <n v="-7.89"/>
        <n v="-8.44"/>
        <n v="-7.31"/>
        <n v="-6.37"/>
        <n v="-5.61"/>
        <n v="-4.77"/>
        <n v="-4.17"/>
        <n v="-5.4"/>
        <n v="-4.92"/>
        <n v="0.4"/>
        <n v="-4.36"/>
        <n v="-4.0"/>
        <n v="-3.4"/>
        <n v="-3.7"/>
        <n v="-3.78"/>
        <n v="-3.71"/>
        <n v="-3.68"/>
        <n v="-3.73"/>
        <n v="-3.77"/>
        <n v="-3.83"/>
        <n v="-3.87"/>
        <n v="-3.67"/>
        <n v="-4.24"/>
        <n v="-4.2"/>
        <n v="-3.86"/>
        <n v="-3.82"/>
        <n v="-3.95"/>
        <n v="-4.16"/>
        <n v="-4.1"/>
        <n v="-5.11"/>
        <n v="-1.08"/>
        <n v="-1.76"/>
        <n v="-0.32"/>
        <n v="-0.66"/>
        <n v="3.8"/>
        <n v="3.84"/>
        <n v="3.75"/>
        <n v="3.35"/>
        <n v="3.53"/>
        <n v="3.21"/>
        <n v="3.55"/>
        <n v="3.52"/>
        <n v="3.0"/>
        <n v="2.7"/>
        <n v="2.69"/>
        <n v="2.71"/>
        <n v="2.8"/>
        <n v="2.81"/>
        <n v="2.82"/>
        <n v="2.62"/>
        <n v="2.53"/>
        <n v="2.61"/>
        <n v="2.64"/>
        <n v="2.58"/>
        <n v="-5.18"/>
        <n v="2.45"/>
        <n v="-5.36"/>
        <n v="2.46"/>
        <n v="-4.82"/>
        <n v="-4.37"/>
        <n v="-4.28"/>
        <n v="-4.06"/>
        <n v="-4.08"/>
        <n v="-3.98"/>
        <n v="-4.02"/>
        <n v="3.78"/>
        <n v="-3.89"/>
        <n v="-3.85"/>
        <n v="-3.81"/>
        <n v="-3.75"/>
        <n v="-3.94"/>
        <n v="-4.05"/>
        <n v="-4.04"/>
        <n v="-4.15"/>
        <n v="-1.83"/>
        <n v="-1.85"/>
        <n v="-1.92"/>
        <n v="-1.84"/>
        <n v="-2.18"/>
        <n v="-7.02"/>
        <n v="-10.78"/>
        <n v="-11.28"/>
        <n v="-11.27"/>
        <n v="-11.25"/>
        <n v="-11.41"/>
        <n v="-11.5"/>
        <n v="-11.45"/>
        <n v="-11.48"/>
        <n v="-11.47"/>
        <n v="-11.51"/>
        <n v="2.11"/>
        <n v="1.8"/>
        <n v="1.79"/>
        <n v="1.72"/>
        <n v="1.78"/>
        <n v="1.76"/>
        <n v="1.65"/>
        <n v="1.44"/>
        <n v="-6.5"/>
        <n v="-6.87"/>
        <n v="-6.92"/>
        <n v="-7.13"/>
        <n v="-7.25"/>
        <n v="-7.41"/>
        <n v="-7.49"/>
        <n v="-7.55"/>
        <n v="-7.56"/>
        <n v="-7.57"/>
        <n v="-7.58"/>
        <n v="-7.6"/>
        <n v="4.94"/>
        <n v="4.78"/>
        <n v="5.05"/>
        <n v="4.96"/>
        <n v="4.99"/>
        <n v="5.08"/>
        <n v="4.68"/>
        <n v="4.66"/>
        <n v="4.35"/>
        <n v="3.39"/>
        <n v="2.95"/>
        <n v="3.07"/>
        <n v="2.87"/>
        <n v="2.59"/>
        <n v="2.78"/>
        <n v="2.84"/>
        <n v="2.94"/>
        <n v="3.12"/>
        <n v="2.75"/>
        <n v="2.02"/>
        <n v="1.95"/>
        <n v="1.99"/>
        <n v="8.36"/>
        <n v="6.71"/>
        <n v="2.51"/>
        <n v="2.86"/>
        <n v="2.32"/>
        <n v="2.1"/>
        <n v="2.2"/>
        <n v="12.56"/>
        <n v="13.3"/>
        <n v="13.86"/>
        <n v="12.48"/>
        <n v="11.98"/>
        <n v="14.21"/>
        <n v="13.39"/>
        <n v="13.17"/>
        <n v="9.56"/>
        <n v="7.78"/>
        <n v="7.46"/>
        <n v="0.9"/>
        <n v="0.34"/>
        <n v="-3.08"/>
        <n v="-6.91"/>
        <n v="-1.07"/>
        <n v="-4.64"/>
        <n v="-8.25"/>
        <n v="-7.93"/>
        <n v="-8.99"/>
        <n v="-8.35"/>
        <n v="-7.88"/>
        <n v="-8.15"/>
        <n v="-8.21"/>
        <n v="-9.43"/>
        <n v="-9.18"/>
        <n v="-9.56"/>
        <n v="-9.67"/>
        <n v="-2.75"/>
        <n v="-3.23"/>
        <n v="-1.99"/>
        <n v="-2.06"/>
        <n v="-2.02"/>
        <n v="-2.07"/>
        <n v="-8.93"/>
        <n v="-9.03"/>
        <n v="-8.92"/>
        <n v="-8.82"/>
        <n v="-8.87"/>
        <n v="-8.7"/>
        <n v="-1.87"/>
        <n v="-2.05"/>
        <n v="-2.09"/>
        <n v="-2.14"/>
        <n v="-2.04"/>
        <n v="-1.93"/>
        <n v="-1.59"/>
        <n v="-1.73"/>
        <n v="-1.71"/>
        <n v="-1.69"/>
        <n v="-1.34"/>
        <n v="-2.16"/>
        <n v="-2.13"/>
        <n v="-1.81"/>
        <n v="-1.86"/>
        <n v="-1.53"/>
        <n v="-0.87"/>
        <n v="-0.42"/>
        <n v="-0.04"/>
        <n v="0.24"/>
        <n v="-0.01"/>
        <n v="0.83"/>
        <n v="-7.11"/>
        <n v="-7.09"/>
        <n v="-6.67"/>
        <n v="-6.65"/>
        <n v="-6.49"/>
        <n v="-6.48"/>
        <n v="-6.45"/>
        <n v="-6.26"/>
        <n v="-6.01"/>
        <n v="-5.89"/>
        <n v="-5.86"/>
        <n v="-5.84"/>
        <n v="-5.65"/>
        <n v="-5.58"/>
        <n v="-5.73"/>
        <n v="-5.68"/>
        <n v="-6.88"/>
        <n v="-7.74"/>
        <n v="-7.67"/>
        <n v="-7.98"/>
        <n v="-7.95"/>
        <n v="-8.22"/>
        <n v="0.58"/>
        <n v="0.68"/>
        <n v="0.75"/>
        <n v="0.65"/>
        <n v="0.52"/>
        <n v="0.64"/>
        <n v="0.71"/>
        <n v="0.59"/>
        <n v="0.54"/>
        <n v="0.44"/>
        <n v="0.3"/>
        <n v="0.26"/>
        <n v="-9.05"/>
        <n v="-9.07"/>
        <n v="-9.24"/>
        <n v="-9.11"/>
        <n v="-9.04"/>
        <n v="-9.12"/>
        <n v="-8.85"/>
        <n v="-8.74"/>
        <n v="-8.6"/>
        <n v="-8.64"/>
        <n v="-8.67"/>
        <n v="-0.89"/>
        <n v="0.35"/>
        <n v="0.36"/>
        <n v="0.37"/>
        <n v="0.38"/>
        <n v="0.53"/>
        <n v="2.05"/>
        <n v="2.25"/>
        <n v="2.34"/>
        <n v="2.48"/>
        <n v="2.67"/>
        <n v="2.99"/>
        <n v="-5.67"/>
        <n v="-5.47"/>
        <n v="-5.29"/>
        <n v="-5.17"/>
        <n v="-5.38"/>
        <n v="-5.28"/>
        <n v="-5.39"/>
        <n v="-5.3"/>
        <n v="-7.62"/>
        <n v="-5.13"/>
        <n v="-4.91"/>
        <n v="1.22"/>
        <n v="-7.66"/>
        <n v="-7.63"/>
        <n v="-7.68"/>
        <n v="-7.69"/>
        <n v="-7.7"/>
        <n v="-7.71"/>
        <n v="-7.18"/>
        <n v="3.36"/>
        <n v="-7.65"/>
        <n v="-7.64"/>
        <n v="3.32"/>
        <n v="3.57"/>
        <n v="3.7"/>
        <n v="3.65"/>
        <n v="3.72"/>
        <n v="3.85"/>
        <n v="3.9"/>
        <n v="4.15"/>
        <n v="4.14"/>
        <n v="4.17"/>
        <n v="4.29"/>
        <n v="-6.39"/>
        <n v="-6.27"/>
        <n v="-6.15"/>
        <n v="-6.17"/>
        <n v="-6.23"/>
        <n v="-6.22"/>
        <n v="-6.03"/>
        <n v="-5.9"/>
        <n v="-5.8"/>
        <n v="-5.93"/>
        <n v="-0.19"/>
        <n v="-1.55"/>
        <n v="-1.51"/>
        <n v="-1.09"/>
        <n v="-2.26"/>
        <n v="-2.48"/>
        <n v="-1.75"/>
        <n v="-2.57"/>
        <n v="-2.36"/>
        <n v="-2.61"/>
        <n v="-3.54"/>
        <n v="-4.13"/>
        <n v="-3.92"/>
        <n v="-3.72"/>
        <n v="-3.9"/>
        <n v="-3.5"/>
        <n v="-3.34"/>
        <n v="-3.11"/>
        <n v="-3.03"/>
        <n v="-2.43"/>
        <n v="-3.53"/>
        <n v="-3.37"/>
        <n v="-2.81"/>
        <n v="-2.92"/>
        <n v="-3.28"/>
        <n v="-3.91"/>
        <n v="-4.94"/>
        <n v="-4.78"/>
        <n v="-4.45"/>
        <n v="-4.97"/>
        <n v="-4.83"/>
        <n v="-1.01"/>
        <n v="-0.58"/>
        <n v="-13.46"/>
        <n v="-10.54"/>
        <n v="-10.1"/>
        <n v="-9.41"/>
        <n v="-8.84"/>
        <n v="-8.65"/>
        <n v="-8.11"/>
        <n v="-8.03"/>
        <n v="-7.61"/>
        <n v="-7.24"/>
        <n v="-7.59"/>
        <n v="5.19"/>
        <n v="5.0"/>
        <n v="6.38"/>
        <n v="5.1"/>
        <n v="5.3"/>
        <n v="5.28"/>
        <n v="4.8"/>
        <n v="4.71"/>
        <n v="5.26"/>
        <n v="5.6"/>
        <n v="5.29"/>
        <n v="5.49"/>
        <n v="5.32"/>
        <n v="6.36"/>
        <n v="5.99"/>
        <n v="-10.71"/>
        <n v="-11.78"/>
        <n v="-12.36"/>
        <n v="-13.18"/>
        <n v="-13.54"/>
        <n v="-13.45"/>
        <n v="-13.87"/>
        <n v="-14.16"/>
        <n v="-13.91"/>
        <n v="-14.29"/>
        <n v="-14.52"/>
        <n v="-14.37"/>
        <n v="3.17"/>
        <n v="3.14"/>
        <n v="3.13"/>
        <n v="3.16"/>
        <n v="-3.64"/>
        <n v="-3.62"/>
        <n v="-4.38"/>
        <n v="-4.4"/>
        <n v="-9.75"/>
        <n v="-4.79"/>
        <n v="-4.59"/>
        <n v="-4.75"/>
        <n v="-9.54"/>
        <n v="-4.29"/>
        <n v="-9.52"/>
        <n v="-4.55"/>
        <n v="4.56"/>
        <n v="-9.42"/>
        <n v="-9.31"/>
        <n v="-9.44"/>
        <n v="-9.25"/>
        <n v="-9.28"/>
        <n v="-9.45"/>
        <n v="-9.27"/>
        <n v="-9.36"/>
        <n v="-9.35"/>
        <n v="-9.9"/>
        <n v="6.69"/>
        <n v="-9.4"/>
        <n v="-14.1"/>
        <n v="-14.75"/>
        <n v="-14.78"/>
        <n v="-14.86"/>
        <n v="-8.95"/>
        <n v="-8.98"/>
        <n v="-8.42"/>
        <n v="7.12"/>
        <n v="-3.39"/>
        <n v="-2.94"/>
        <n v="-3.41"/>
        <n v="-7.84"/>
        <n v="-3.22"/>
        <n v="-3.47"/>
        <n v="-7.26"/>
        <n v="-8.05"/>
        <n v="-7.32"/>
        <n v="-7.8"/>
        <n v="-8.14"/>
        <n v="-8.04"/>
        <n v="6.99"/>
        <n v="7.1"/>
        <n v="7.0"/>
        <n v="7.13"/>
        <n v="7.06"/>
        <n v="7.16"/>
        <n v="-8.75"/>
        <n v="-8.86"/>
        <n v="-8.78"/>
        <n v="-8.94"/>
        <n v="-8.76"/>
        <n v="7.27"/>
        <n v="7.18"/>
        <n v="7.26"/>
        <n v="7.14"/>
        <n v="7.29"/>
        <n v="7.17"/>
        <n v="7.21"/>
        <n v="-14.26"/>
        <n v="7.68"/>
        <n v="-10.25"/>
        <n v="-9.78"/>
        <n v="-9.63"/>
        <n v="-8.06"/>
        <n v="-9.85"/>
        <n v="-9.61"/>
        <n v="-9.49"/>
        <n v="-6.3"/>
        <n v="-6.0"/>
        <n v="-5.99"/>
        <n v="-6.18"/>
        <n v="11.61"/>
        <n v="13.41"/>
        <n v="13.34"/>
        <n v="12.94"/>
        <n v="12.75"/>
        <n v="13.2"/>
        <n v="11.97"/>
        <n v="11.73"/>
        <n v="11.65"/>
        <n v="11.06"/>
        <n v="10.83"/>
        <n v="10.87"/>
        <n v="10.15"/>
        <n v="-0.25"/>
        <n v="-1.03"/>
        <n v="2.98"/>
        <n v="1.68"/>
        <n v="-1.18"/>
        <n v="-1.89"/>
        <n v="-0.82"/>
        <n v="-0.27"/>
        <n v="-4.42"/>
        <n v="6.32"/>
        <n v="6.26"/>
        <n v="6.34"/>
        <n v="6.01"/>
        <n v="5.9"/>
        <n v="5.95"/>
        <n v="5.81"/>
        <n v="5.72"/>
        <n v="5.98"/>
        <n v="5.79"/>
        <n v="5.82"/>
        <n v="5.87"/>
        <n v="5.93"/>
        <n v="5.89"/>
        <n v="1.2"/>
        <n v="0.92"/>
        <n v="1.16"/>
        <n v="0.28"/>
        <n v="-6.4"/>
        <n v="-5.66"/>
        <n v="-5.57"/>
        <n v="-5.32"/>
        <n v="2.37"/>
        <n v="7.34"/>
        <n v="-10.27"/>
        <n v="-10.33"/>
        <n v="-8.52"/>
        <n v="-8.27"/>
        <n v="-6.8"/>
        <n v="-6.2"/>
        <n v="-5.41"/>
        <n v="-5.49"/>
        <n v="-5.74"/>
        <n v="-8.24"/>
        <n v="-8.72"/>
        <n v="-7.9"/>
        <n v="-7.82"/>
        <n v="-7.39"/>
        <n v="-7.23"/>
        <n v="-6.83"/>
        <n v="-6.97"/>
        <n v="-6.9"/>
        <n v="-6.82"/>
        <n v="-6.86"/>
        <n v="13.04"/>
        <n v="13.13"/>
        <n v="13.38"/>
        <n v="13.48"/>
        <n v="13.37"/>
        <n v="13.33"/>
        <n v="13.14"/>
        <n v="13.28"/>
        <n v="13.29"/>
        <n v="13.32"/>
        <n v="-3.8"/>
        <n v="-6.16"/>
        <n v="-6.09"/>
        <n v="-6.25"/>
        <n v="-6.32"/>
        <n v="-5.95"/>
        <n v="-6.29"/>
        <n v="-5.98"/>
        <n v="-6.07"/>
        <n v="-6.19"/>
        <n v="13.53"/>
        <n v="-6.36"/>
        <n v="-3.63"/>
        <n v="-3.58"/>
        <n v="-6.1"/>
        <n v="-3.61"/>
        <n v="-6.21"/>
        <n v="-3.55"/>
        <n v="-3.65"/>
        <n v="13.75"/>
        <n v="-8.28"/>
        <n v="-8.33"/>
        <n v="-8.16"/>
        <n v="-8.17"/>
        <n v="-8.18"/>
        <n v="-8.09"/>
        <n v="-7.91"/>
        <n v="-7.99"/>
        <n v="-8.0"/>
        <n v="14.34"/>
        <n v="14.37"/>
        <n v="14.4"/>
        <n v="14.36"/>
        <n v="14.42"/>
        <n v="14.32"/>
        <n v="14.26"/>
        <n v="14.38"/>
        <n v="14.31"/>
        <n v="14.3"/>
        <n v="14.35"/>
        <n v="14.33"/>
        <n v="14.39"/>
        <n v="14.14"/>
        <n v="14.19"/>
        <n v="14.08"/>
        <n v="14.13"/>
        <n v="14.06"/>
        <n v="14.11"/>
        <n v="14.17"/>
        <n v="14.1"/>
        <n v="13.7"/>
        <n v="14.0"/>
        <n v="13.95"/>
        <n v="13.88"/>
        <n v="13.8"/>
        <n v="-4.61"/>
        <n v="-5.78"/>
        <n v="-3.6"/>
        <n v="-4.89"/>
        <n v="-4.87"/>
        <n v="13.52"/>
        <n v="-6.06"/>
        <n v="-6.11"/>
        <n v="-6.04"/>
        <n v="13.61"/>
        <n v="13.63"/>
        <n v="9.99"/>
        <n v="9.97"/>
        <n v="9.87"/>
        <n v="9.95"/>
        <n v="10.34"/>
        <n v="10.5"/>
        <n v="10.48"/>
        <n v="10.54"/>
        <n v="10.26"/>
        <n v="10.49"/>
        <n v="10.31"/>
        <n v="10.53"/>
        <n v="10.64"/>
        <n v="10.63"/>
        <n v="10.65"/>
        <n v="10.4"/>
        <n v="4.41"/>
        <n v="11.38"/>
        <n v="11.52"/>
        <n v="11.81"/>
        <n v="11.74"/>
        <n v="11.78"/>
        <n v="11.87"/>
        <n v="11.68"/>
        <n v="11.71"/>
        <n v="10.33"/>
        <n v="10.61"/>
        <n v="9.53"/>
        <n v="8.02"/>
        <n v="9.48"/>
        <n v="8.94"/>
        <n v="10.6"/>
        <n v="9.34"/>
        <n v="9.59"/>
        <n v="9.21"/>
        <n v="8.67"/>
        <n v="9.43"/>
        <n v="10.24"/>
        <n v="10.2"/>
        <n v="9.7"/>
        <n v="9.44"/>
        <n v="9.31"/>
        <n v="11.0"/>
        <n v="12.8"/>
        <n v="11.64"/>
        <n v="7.86"/>
        <n v="6.93"/>
        <n v="6.25"/>
        <n v="5.83"/>
        <n v="5.76"/>
        <n v="5.59"/>
        <n v="5.56"/>
        <n v="5.21"/>
        <n v="5.43"/>
        <n v="7.75"/>
        <n v="7.51"/>
      </sharedItems>
    </cacheField>
    <cacheField name="Promotion Status" numFmtId="0">
      <sharedItems>
        <s v="Promotion"/>
        <s v="Non-promotion"/>
      </sharedItems>
    </cacheField>
    <cacheField name="Promotion Period" numFmtId="0">
      <sharedItems>
        <s v="Promotion period 1"/>
        <s v="Non Promotion"/>
        <s v="Promotion period 2"/>
        <s v="Promotion period 3"/>
        <s v="Promotion period 4"/>
      </sharedItems>
    </cacheField>
    <cacheField name="Price Elasticity of Demand">
      <sharedItems containsMixedTypes="1" containsNumber="1">
        <n v="-4.12"/>
        <s v="null"/>
        <n v="-2.75"/>
        <n v="-8.55"/>
        <n v="-7.16"/>
      </sharedItems>
    </cacheField>
    <cacheField name="Previous Gross Profit">
      <sharedItems containsMixedTypes="1" containsNumber="1">
        <s v="null"/>
        <n v="-6141.65"/>
        <n v="-6640.64"/>
        <n v="-1203.85"/>
        <n v="-2708.06"/>
        <n v="-6900.22"/>
        <n v="-6608.41"/>
        <n v="-3894.4"/>
        <n v="-7094.12"/>
        <n v="-5513.56"/>
        <n v="2454.43"/>
        <n v="2987.85"/>
        <n v="3495.96"/>
        <n v="3391.81"/>
        <n v="2296.23"/>
        <n v="2696.87"/>
        <n v="1994.04"/>
        <n v="1786.37"/>
        <n v="1554.47"/>
        <n v="2757.28"/>
        <n v="2997.34"/>
        <n v="1515.02"/>
        <n v="1567.29"/>
        <n v="1533.1"/>
        <n v="649.02"/>
        <n v="1113.76"/>
        <n v="2135.0"/>
        <n v="2636.55"/>
        <n v="1302.05"/>
        <n v="976.27"/>
        <n v="646.81"/>
        <n v="928.86"/>
        <n v="882.53"/>
        <n v="2084.37"/>
        <n v="2773.41"/>
        <n v="1967.06"/>
        <n v="2686.9"/>
        <n v="1630.36"/>
        <n v="-7922.73"/>
        <n v="336.72"/>
        <n v="-11975.35"/>
        <n v="-13681.6"/>
        <n v="-6352.67"/>
        <n v="-7101.17"/>
        <n v="-4325.42"/>
        <n v="-3460.52"/>
        <n v="-2735.8"/>
        <n v="-6618.5"/>
        <n v="-6244.33"/>
        <n v="-2883.24"/>
        <n v="-2086.76"/>
        <n v="2128.69"/>
        <n v="-1309.25"/>
        <n v="3006.16"/>
        <n v="-4173.47"/>
        <n v="-10899.05"/>
        <n v="-2261.05"/>
        <n v="-1359.18"/>
        <n v="-2551.79"/>
        <n v="-3162.55"/>
        <n v="-21635.97"/>
        <n v="-24780.29"/>
        <n v="-25403.2"/>
        <n v="-16652.15"/>
        <n v="-18739.93"/>
        <n v="-12978.91"/>
        <n v="-10917.98"/>
        <n v="-332.03"/>
        <n v="-18456.58"/>
        <n v="-21352.21"/>
        <n v="-8890.73"/>
        <n v="-11412.21"/>
        <n v="-4356.02"/>
        <n v="-5453.03"/>
        <n v="-4311.21"/>
        <n v="-10824.57"/>
        <n v="-16199.93"/>
        <n v="-6573.15"/>
        <n v="-7086.35"/>
        <n v="4278.15"/>
        <n v="4130.94"/>
        <n v="8050.52"/>
        <n v="8920.55"/>
        <n v="7752.62"/>
        <n v="3133.18"/>
        <n v="3674.57"/>
        <n v="2832.73"/>
        <n v="3034.93"/>
        <n v="1265.76"/>
        <n v="4623.87"/>
        <n v="5118.44"/>
        <n v="3340.06"/>
        <n v="3647.02"/>
        <n v="4834.52"/>
        <n v="2254.48"/>
        <n v="1478.91"/>
        <n v="2817.59"/>
        <n v="3569.77"/>
        <n v="2333.79"/>
        <n v="1125.75"/>
        <n v="3615.5"/>
        <n v="3563.58"/>
        <n v="-3952.01"/>
        <n v="-7372.71"/>
        <n v="-8696.08"/>
        <n v="-3668.32"/>
        <n v="-4559.74"/>
        <n v="-6151.14"/>
        <n v="-7498.94"/>
        <n v="-15691.75"/>
        <n v="-11877.03"/>
        <n v="-9284.67"/>
        <n v="-2911.25"/>
        <n v="-4244.26"/>
        <n v="-4861.59"/>
        <n v="2508.51"/>
        <n v="2232.63"/>
        <n v="3414.32"/>
        <n v="3894.4"/>
        <n v="1922.64"/>
        <n v="1659.74"/>
        <n v="1437.31"/>
        <n v="4205.71"/>
        <n v="4637.62"/>
        <n v="6548.41"/>
        <n v="3834.85"/>
        <n v="1480.54"/>
        <n v="1426.86"/>
        <n v="3692.47"/>
        <n v="-1437.58"/>
        <n v="2639.23"/>
        <n v="-22610.64"/>
        <n v="-33558.11"/>
        <n v="-15500.55"/>
        <n v="-14421.79"/>
        <n v="-11526.59"/>
        <n v="-16978.03"/>
        <n v="-19741.25"/>
        <n v="-26475.38"/>
        <n v="-27990.38"/>
        <n v="-7943.46"/>
        <n v="-7019.49"/>
        <n v="-9624.64"/>
        <n v="-9581.86"/>
        <n v="463.77"/>
        <n v="-18753.16"/>
        <n v="-23602.97"/>
        <n v="-6599.75"/>
        <n v="-7418.25"/>
        <n v="-8364.05"/>
        <n v="-9208.43"/>
        <n v="-7689.42"/>
        <n v="-18501.65"/>
        <n v="-22510.6"/>
        <n v="-17206.52"/>
        <n v="-16310.8"/>
        <n v="-12695.82"/>
        <n v="-10496.67"/>
        <n v="-7835.0"/>
        <n v="-12095.25"/>
        <n v="-15508.04"/>
        <n v="-7482.13"/>
        <n v="-6077.24"/>
        <n v="-6920.26"/>
        <n v="-6653.61"/>
        <n v="-7486.14"/>
        <n v="-17478.91"/>
        <n v="-18709.54"/>
        <n v="-9321.91"/>
        <n v="-7734.04"/>
        <n v="-8716.14"/>
        <n v="-7797.82"/>
        <n v="-5808.2"/>
        <n v="-2185.56"/>
        <n v="-3573.67"/>
        <n v="-428.04"/>
        <n v="-907.82"/>
        <n v="1393.62"/>
        <n v="2152.29"/>
        <n v="2092.47"/>
        <n v="4418.81"/>
        <n v="5156.75"/>
        <n v="1989.72"/>
        <n v="3325.47"/>
        <n v="6340.11"/>
        <n v="3144.97"/>
        <n v="2523.44"/>
        <n v="2664.28"/>
        <n v="3166.64"/>
        <n v="1900.84"/>
        <n v="1927.53"/>
        <n v="3044.1"/>
        <n v="2306.11"/>
        <n v="2727.59"/>
        <n v="3384.83"/>
        <n v="2588.8"/>
        <n v="1334.92"/>
        <n v="1991.13"/>
        <n v="2850.85"/>
        <n v="-8104.67"/>
        <n v="1978.2"/>
        <n v="3003.51"/>
        <n v="-13020.9"/>
        <n v="2057.73"/>
        <n v="2094.8"/>
        <n v="1394.91"/>
        <n v="-7983.19"/>
        <n v="3201.34"/>
        <n v="-22561.48"/>
        <n v="-24080.15"/>
        <n v="-10932.08"/>
        <n v="-11873.63"/>
        <n v="-8656.08"/>
        <n v="-7884.49"/>
        <n v="-11714.07"/>
        <n v="-24446.64"/>
        <n v="-25094.74"/>
        <n v="-12227.33"/>
        <n v="-14539.22"/>
        <n v="-10459.7"/>
        <n v="3048.27"/>
        <n v="3905.39"/>
        <n v="-17088.2"/>
        <n v="-15724.6"/>
        <n v="-7464.66"/>
        <n v="-8787.17"/>
        <n v="-7112.93"/>
        <n v="-7416.01"/>
        <n v="-6778.69"/>
        <n v="-18237.54"/>
        <n v="-21352.48"/>
        <n v="-9689.14"/>
        <n v="-10308.32"/>
        <n v="-6649.12"/>
        <n v="-3135.84"/>
        <n v="-3031.59"/>
        <n v="-7227.21"/>
        <n v="-9616.6"/>
        <n v="-3955.4"/>
        <n v="-6889.33"/>
        <n v="-17036.01"/>
        <n v="-29622.53"/>
        <n v="-29102.4"/>
        <n v="-66930.59"/>
        <n v="-80692.18"/>
        <n v="-40391.61"/>
        <n v="-67897.36"/>
        <n v="-54010.36"/>
        <n v="-53112.74"/>
        <n v="-35865.17"/>
        <n v="-57487.69"/>
        <n v="-63465.95"/>
        <n v="-26934.62"/>
        <n v="-28151.9"/>
        <n v="2678.69"/>
        <n v="1664.86"/>
        <n v="1385.75"/>
        <n v="2678.25"/>
        <n v="3072.63"/>
        <n v="1487.32"/>
        <n v="2142.14"/>
        <n v="1450.77"/>
        <n v="1296.12"/>
        <n v="1145.06"/>
        <n v="1878.04"/>
        <n v="2192.93"/>
        <n v="1086.65"/>
        <n v="1162.29"/>
        <n v="1237.75"/>
        <n v="-13645.7"/>
        <n v="-24602.3"/>
        <n v="-40516.93"/>
        <n v="-43991.5"/>
        <n v="-20590.05"/>
        <n v="-19595.86"/>
        <n v="-26798.46"/>
        <n v="-44868.29"/>
        <n v="-35564.37"/>
        <n v="-39245.84"/>
        <n v="-49645.47"/>
        <n v="-21224.54"/>
        <n v="-28530.9"/>
        <n v="3859.84"/>
        <n v="3367.15"/>
        <n v="5215.37"/>
        <n v="9083.85"/>
        <n v="6845.92"/>
        <n v="3045.22"/>
        <n v="4407.43"/>
        <n v="3256.56"/>
        <n v="6077.92"/>
        <n v="4141.92"/>
        <n v="4108.07"/>
        <n v="5005.97"/>
        <n v="2781.16"/>
        <n v="2853.1"/>
        <n v="2971.54"/>
        <n v="2563.88"/>
        <n v="2712.3"/>
        <n v="7013.51"/>
        <n v="8592.01"/>
        <n v="3781.49"/>
        <n v="4533.33"/>
        <n v="2460.51"/>
        <n v="1879.33"/>
        <n v="1411.39"/>
        <n v="3332.68"/>
        <n v="4814.3"/>
        <n v="2829.84"/>
        <n v="4087.68"/>
        <n v="8295.24"/>
        <n v="4884.09"/>
        <n v="2381.37"/>
        <n v="3628.6"/>
        <n v="4026.48"/>
        <n v="2121.28"/>
        <n v="2135.69"/>
        <n v="1306.5"/>
        <n v="1146.92"/>
        <n v="1035.9"/>
        <n v="2813.27"/>
        <n v="3787.23"/>
        <n v="1965.63"/>
        <n v="1894.54"/>
        <n v="1473.44"/>
        <n v="1119.55"/>
        <n v="1002.74"/>
        <n v="6781.42"/>
        <n v="6318.89"/>
        <n v="4326.65"/>
        <n v="3354.28"/>
        <n v="4856.45"/>
        <n v="4316.58"/>
        <n v="5056.97"/>
        <n v="6165.63"/>
        <n v="8441.38"/>
        <n v="7859.94"/>
        <n v="7843.27"/>
        <n v="2686.1"/>
        <n v="1935.44"/>
        <n v="493.59"/>
        <n v="264.89"/>
        <n v="-4628.72"/>
        <n v="-7228.36"/>
        <n v="-960.14"/>
        <n v="-1588.81"/>
        <n v="-7503.71"/>
        <n v="-13089.64"/>
        <n v="-22144.01"/>
        <n v="-33213.69"/>
        <n v="-14827.21"/>
        <n v="-22243.01"/>
        <n v="-13533.2"/>
        <n v="-12226.52"/>
        <n v="-19076.63"/>
        <n v="-25173.18"/>
        <n v="-30211.23"/>
        <n v="-16811.1"/>
        <n v="-5623.83"/>
        <n v="-10232.41"/>
        <n v="-9678.77"/>
        <n v="-2839.25"/>
        <n v="-925.4"/>
        <n v="-2221.43"/>
        <n v="-1431.38"/>
        <n v="-2696.11"/>
        <n v="-19334.26"/>
        <n v="-32958.04"/>
        <n v="-10009.01"/>
        <n v="-23918.01"/>
        <n v="-21921.44"/>
        <n v="-16032.64"/>
        <n v="-19544.4"/>
        <n v="-15794.76"/>
        <n v="-1552.35"/>
        <n v="-1573.32"/>
        <n v="-2584.75"/>
        <n v="-2585.23"/>
        <n v="-1454.0"/>
        <n v="-1729.24"/>
        <n v="-1326.45"/>
        <n v="-1149.97"/>
        <n v="-1256.99"/>
        <n v="-2586.93"/>
        <n v="-2922.95"/>
        <n v="-1259.65"/>
        <n v="-966.81"/>
        <n v="-1307.5"/>
        <n v="-1348.11"/>
        <n v="-1401.16"/>
        <n v="-3360.9"/>
        <n v="-3360.31"/>
        <n v="-1702.77"/>
        <n v="-1977.68"/>
        <n v="-1621.52"/>
        <n v="-1296.46"/>
        <n v="-1221.22"/>
        <n v="-2681.32"/>
        <n v="-3621.12"/>
        <n v="-3182.53"/>
        <n v="-2411.38"/>
        <n v="-1562.52"/>
        <n v="-718.29"/>
        <n v="-195.97"/>
        <n v="-35.29"/>
        <n v="255.74"/>
        <n v="-4.57"/>
        <n v="810.61"/>
        <n v="-9855.43"/>
        <n v="-11499.72"/>
        <n v="-9236.22"/>
        <n v="-23849.65"/>
        <n v="-27538.15"/>
        <n v="-13204.14"/>
        <n v="-14217.01"/>
        <n v="-8761.61"/>
        <n v="-9674.61"/>
        <n v="-8495.57"/>
        <n v="-17168.62"/>
        <n v="-15648.18"/>
        <n v="-7967.43"/>
        <n v="972.35"/>
        <n v="-5393.17"/>
        <n v="-11068.17"/>
        <n v="-9013.3"/>
        <n v="-17456.66"/>
        <n v="-24131.87"/>
        <n v="-19867.71"/>
        <n v="-18004.23"/>
        <n v="-19381.27"/>
        <n v="-20614.16"/>
        <n v="-11602.17"/>
        <n v="-22125.16"/>
        <n v="-25322.2"/>
        <n v="711.98"/>
        <n v="800.12"/>
        <n v="425.93"/>
        <n v="425.7"/>
        <n v="326.81"/>
        <n v="765.7"/>
        <n v="1017.72"/>
        <n v="349.49"/>
        <n v="514.0"/>
        <n v="360.68"/>
        <n v="286.92"/>
        <n v="231.96"/>
        <n v="427.73"/>
        <n v="531.6"/>
        <n v="197.99"/>
        <n v="210.14"/>
        <n v="-11314.44"/>
        <n v="-22976.0"/>
        <n v="-21176.68"/>
        <n v="-32273.3"/>
        <n v="-41877.91"/>
        <n v="-20256.92"/>
        <n v="-19615.89"/>
        <n v="-31454.0"/>
        <n v="-43589.49"/>
        <n v="-62490.0"/>
        <n v="-43870.6"/>
        <n v="-34570.69"/>
        <n v="-11757.72"/>
        <n v="-15938.97"/>
        <n v="-1575.95"/>
        <n v="338.54"/>
        <n v="263.09"/>
        <n v="413.1"/>
        <n v="464.03"/>
        <n v="299.23"/>
        <n v="437.08"/>
        <n v="835.83"/>
        <n v="1308.54"/>
        <n v="1172.22"/>
        <n v="2502.97"/>
        <n v="3297.69"/>
        <n v="1573.36"/>
        <n v="1526.53"/>
        <n v="1702.17"/>
        <n v="-7526.19"/>
        <n v="1864.28"/>
        <n v="-18803.59"/>
        <n v="-38423.69"/>
        <n v="-10594.94"/>
        <n v="-10025.44"/>
        <n v="-10243.46"/>
        <n v="-10498.48"/>
        <n v="-20769.14"/>
        <n v="-26503.52"/>
        <n v="-35185.8"/>
        <n v="-13738.44"/>
        <n v="-16433.33"/>
        <n v="-11777.97"/>
        <n v="-17265.66"/>
        <n v="1428.89"/>
        <n v="-24975.84"/>
        <n v="-29855.02"/>
        <n v="-12707.05"/>
        <n v="-15233.52"/>
        <n v="-14857.02"/>
        <n v="-12818.45"/>
        <n v="-11441.61"/>
        <n v="-29219.86"/>
        <n v="-31869.54"/>
        <n v="-13651.9"/>
        <n v="-15090.02"/>
        <n v="-9905.18"/>
        <n v="-12391.9"/>
        <n v="2841.11"/>
        <n v="-24666.5"/>
        <n v="-32220.87"/>
        <n v="-12877.88"/>
        <n v="-19739.28"/>
        <n v="-15333.84"/>
        <n v="-18696.86"/>
        <n v="-16737.4"/>
        <n v="-36104.39"/>
        <n v="-42114.72"/>
        <n v="-20191.29"/>
        <n v="-34061.33"/>
        <n v="-25849.93"/>
        <n v="-20656.28"/>
        <n v="-15282.01"/>
        <n v="-22476.78"/>
        <n v="-26681.71"/>
        <n v="-13745.68"/>
        <n v="3644.46"/>
        <n v="2744.13"/>
        <n v="2530.19"/>
        <n v="2449.18"/>
        <n v="5733.64"/>
        <n v="6762.15"/>
        <n v="3119.72"/>
        <n v="5538.7"/>
        <n v="3667.19"/>
        <n v="3433.4"/>
        <n v="3072.81"/>
        <n v="5895.63"/>
        <n v="7016.37"/>
        <n v="3730.44"/>
        <n v="3556.84"/>
        <n v="2786.68"/>
        <n v="-6815.04"/>
        <n v="-11521.91"/>
        <n v="-19661.9"/>
        <n v="-22772.21"/>
        <n v="-11446.62"/>
        <n v="-10313.35"/>
        <n v="-13213.85"/>
        <n v="-19016.93"/>
        <n v="-15580.31"/>
        <n v="-16182.51"/>
        <n v="-18659.58"/>
        <n v="-9095.58"/>
        <n v="-10201.23"/>
        <n v="-8045.83"/>
        <n v="-162.45"/>
        <n v="-1097.88"/>
        <n v="-1901.44"/>
        <n v="-1546.38"/>
        <n v="-1295.36"/>
        <n v="-1358.73"/>
        <n v="-1268.89"/>
        <n v="-1403.83"/>
        <n v="-1850.06"/>
        <n v="-3465.39"/>
        <n v="-3052.15"/>
        <n v="-1909.88"/>
        <n v="-1435.87"/>
        <n v="-1878.74"/>
        <n v="-1163.94"/>
        <n v="-2523.92"/>
        <n v="-4738.63"/>
        <n v="-4912.45"/>
        <n v="-3374.18"/>
        <n v="-3399.93"/>
        <n v="-2117.29"/>
        <n v="-2082.86"/>
        <n v="-1930.67"/>
        <n v="-4843.26"/>
        <n v="-5393.07"/>
        <n v="-2674.32"/>
        <n v="-1972.55"/>
        <n v="-2744.86"/>
        <n v="-2540.86"/>
        <n v="-2623.74"/>
        <n v="-3380.89"/>
        <n v="-3853.43"/>
        <n v="-2474.69"/>
        <n v="-2697.65"/>
        <n v="-2351.34"/>
        <n v="-2150.87"/>
        <n v="-1951.01"/>
        <n v="-4104.8"/>
        <n v="-5216.35"/>
        <n v="-3533.11"/>
        <n v="-3111.18"/>
        <n v="-1676.0"/>
        <n v="-869.9"/>
        <n v="-652.22"/>
        <n v="-2000.67"/>
        <n v="-2481.8"/>
        <n v="-574.12"/>
        <n v="-342.7"/>
        <n v="-29292.37"/>
        <n v="-31633.47"/>
        <n v="-24113.58"/>
        <n v="-39144.18"/>
        <n v="-43390.18"/>
        <n v="-17902.51"/>
        <n v="-29410.52"/>
        <n v="-33294.83"/>
        <n v="-28039.92"/>
        <n v="-21792.78"/>
        <n v="-25919.45"/>
        <n v="-27711.57"/>
        <n v="-11928.24"/>
        <n v="-13586.43"/>
        <n v="3647.3"/>
        <n v="3802.57"/>
        <n v="3090.24"/>
        <n v="4380.18"/>
        <n v="3040.86"/>
        <n v="1716.11"/>
        <n v="2504.18"/>
        <n v="2400.87"/>
        <n v="1589.26"/>
        <n v="1666.99"/>
        <n v="3622.66"/>
        <n v="3784.99"/>
        <n v="2226.48"/>
        <n v="2818.01"/>
        <n v="2792.57"/>
        <n v="-13401.08"/>
        <n v="-17668.05"/>
        <n v="-45503.12"/>
        <n v="-46306.95"/>
        <n v="-22114.11"/>
        <n v="-25678.6"/>
        <n v="-19846.89"/>
        <n v="-44886.1"/>
        <n v="-56973.47"/>
        <n v="-54755.79"/>
        <n v="-64449.33"/>
        <n v="-29457.7"/>
        <n v="-42340.28"/>
        <n v="-31672.73"/>
        <n v="2025.54"/>
        <n v="1873.07"/>
        <n v="3965.89"/>
        <n v="3751.32"/>
        <n v="1795.83"/>
        <n v="1816.13"/>
        <n v="1259.73"/>
        <n v="1326.57"/>
        <n v="1691.63"/>
        <n v="3477.34"/>
        <n v="3503.41"/>
        <n v="1870.68"/>
        <n v="1729.33"/>
        <n v="1318.53"/>
        <n v="1678.32"/>
        <n v="1752.48"/>
        <n v="-6756.01"/>
        <n v="-9292.66"/>
        <n v="-4296.81"/>
        <n v="-4812.99"/>
        <n v="-5123.72"/>
        <n v="-15399.09"/>
        <n v="-5301.86"/>
        <n v="-12545.72"/>
        <n v="-38176.62"/>
        <n v="-13163.4"/>
        <n v="-12360.17"/>
        <n v="-9124.74"/>
        <n v="-19212.21"/>
        <n v="-4762.48"/>
        <n v="-9198.1"/>
        <n v="-26670.92"/>
        <n v="-6099.57"/>
        <n v="4294.16"/>
        <n v="-12387.19"/>
        <n v="-13771.66"/>
        <n v="-13243.06"/>
        <n v="-33126.55"/>
        <n v="-35073.09"/>
        <n v="-15943.53"/>
        <n v="-16422.73"/>
        <n v="-14256.62"/>
        <n v="-13931.11"/>
        <n v="-13620.46"/>
        <n v="-27931.16"/>
        <n v="-29201.95"/>
        <n v="-15096.02"/>
        <n v="5335.79"/>
        <n v="-10435.14"/>
        <n v="-22893.11"/>
        <n v="-43900.69"/>
        <n v="-55449.67"/>
        <n v="-64255.96"/>
        <n v="-35455.76"/>
        <n v="-23327.48"/>
        <n v="-23443.78"/>
        <n v="-21369.91"/>
        <n v="-18061.56"/>
        <n v="-27758.77"/>
        <n v="-31857.16"/>
        <n v="-15036.0"/>
        <n v="6442.01"/>
        <n v="-3991.38"/>
        <n v="-4157.65"/>
        <n v="-4542.18"/>
        <n v="-7999.76"/>
        <n v="-26132.28"/>
        <n v="-5967.52"/>
        <n v="-6037.92"/>
        <n v="-16851.62"/>
        <n v="-17025.84"/>
        <n v="-17216.22"/>
        <n v="-22291.54"/>
        <n v="-24716.37"/>
        <n v="-12109.19"/>
        <n v="-23541.59"/>
        <n v="-25174.29"/>
        <n v="18746.18"/>
        <n v="27831.94"/>
        <n v="9365.43"/>
        <n v="5901.95"/>
        <n v="4906.76"/>
        <n v="9520.49"/>
        <n v="-14110.63"/>
        <n v="-18477.04"/>
        <n v="-28472.21"/>
        <n v="-9798.04"/>
        <n v="-23254.56"/>
        <n v="-14781.41"/>
        <n v="-24586.09"/>
        <n v="-18904.24"/>
        <n v="7036.42"/>
        <n v="5412.35"/>
        <n v="7570.66"/>
        <n v="9666.19"/>
        <n v="6474.36"/>
        <n v="8822.64"/>
        <n v="7219.04"/>
        <n v="4827.19"/>
        <n v="4494.5"/>
        <n v="10762.03"/>
        <n v="13710.07"/>
        <n v="6577.27"/>
        <n v="6985.69"/>
        <n v="5059.62"/>
        <n v="-22760.65"/>
        <n v="5152.01"/>
        <n v="-27373.69"/>
        <n v="-30820.84"/>
        <n v="-14366.79"/>
        <n v="-19450.56"/>
        <n v="-16733.68"/>
        <n v="-17277.98"/>
        <n v="-14871.87"/>
        <n v="-39214.6"/>
        <n v="-49269.1"/>
        <n v="-20558.13"/>
        <n v="-32172.85"/>
        <n v="-17529.26"/>
        <n v="-16232.97"/>
        <n v="-11594.16"/>
        <n v="-19538.8"/>
        <n v="-22322.46"/>
        <n v="-10459.14"/>
        <n v="-12883.47"/>
        <n v="9812.9"/>
        <n v="10281.69"/>
        <n v="8543.6"/>
        <n v="19256.48"/>
        <n v="22002.52"/>
        <n v="11613.16"/>
        <n v="14776.16"/>
        <n v="9075.44"/>
        <n v="-8558.5"/>
        <n v="8105.1"/>
        <n v="17829.24"/>
        <n v="-20230.93"/>
        <n v="10501.8"/>
        <n v="9263.76"/>
        <n v="5541.08"/>
        <n v="-207.44"/>
        <n v="-1649.96"/>
        <n v="5633.01"/>
        <n v="5918.72"/>
        <n v="5057.15"/>
        <n v="2746.79"/>
        <n v="-2133.66"/>
        <n v="-3232.51"/>
        <n v="-2242.88"/>
        <n v="-1911.77"/>
        <n v="-1253.1"/>
        <n v="-199.49"/>
        <n v="-4024.5"/>
        <n v="-1814.79"/>
        <n v="2422.26"/>
        <n v="2344.81"/>
        <n v="4945.37"/>
        <n v="4789.47"/>
        <n v="2192.76"/>
        <n v="2678.47"/>
        <n v="3226.28"/>
        <n v="2397.85"/>
        <n v="2055.67"/>
        <n v="4530.07"/>
        <n v="5399.84"/>
        <n v="3220.28"/>
        <n v="2850.16"/>
        <n v="3881.84"/>
        <n v="3397.22"/>
        <n v="3161.05"/>
        <n v="5916.05"/>
        <n v="1494.68"/>
        <n v="678.26"/>
        <n v="582.95"/>
        <n v="241.2"/>
        <n v="-4118.68"/>
        <n v="-7420.61"/>
        <n v="-12948.43"/>
        <n v="-9611.73"/>
        <n v="-4826.59"/>
        <n v="937.83"/>
        <n v="1941.36"/>
        <n v="4021.9"/>
        <n v="-15976.71"/>
        <n v="-27291.69"/>
        <n v="-25403.12"/>
        <n v="-8919.88"/>
        <n v="-10852.22"/>
        <n v="-9535.47"/>
        <n v="-8458.01"/>
        <n v="-10058.82"/>
        <n v="-19158.28"/>
        <n v="-17986.37"/>
        <n v="-10358.13"/>
        <n v="-8670.97"/>
        <n v="-6830.34"/>
        <n v="-12625.1"/>
        <n v="-14688.74"/>
        <n v="-28952.14"/>
        <n v="-34676.53"/>
        <n v="-16225.03"/>
        <n v="-21805.57"/>
        <n v="-22148.02"/>
        <n v="-24496.18"/>
        <n v="-19527.58"/>
        <n v="-33660.73"/>
        <n v="-42060.46"/>
        <n v="-25655.11"/>
        <n v="-21713.27"/>
        <n v="-22285.69"/>
        <n v="-19538.51"/>
        <n v="-16580.78"/>
        <n v="-23509.53"/>
        <n v="-26457.02"/>
        <n v="-9552.11"/>
        <n v="8658.56"/>
        <n v="5610.54"/>
        <n v="4620.66"/>
        <n v="3640.25"/>
        <n v="10761.37"/>
        <n v="11058.44"/>
        <n v="6885.3"/>
        <n v="5732.52"/>
        <n v="5214.28"/>
        <n v="4522.42"/>
        <n v="5174.03"/>
        <n v="12904.9"/>
        <n v="13200.88"/>
        <n v="8192.45"/>
        <n v="9215.12"/>
        <n v="-4301.83"/>
        <n v="-15288.27"/>
        <n v="-12983.79"/>
        <n v="-22412.47"/>
        <n v="-24193.73"/>
        <n v="-12749.14"/>
        <n v="-10917.87"/>
        <n v="-15415.36"/>
        <n v="-23134.09"/>
        <n v="-17476.86"/>
        <n v="-22364.82"/>
        <n v="-24408.88"/>
        <n v="-12688.73"/>
        <n v="-11002.8"/>
        <n v="9531.16"/>
        <n v="-10368.83"/>
        <n v="-5038.95"/>
        <n v="-9044.12"/>
        <n v="-17935.67"/>
        <n v="-4996.55"/>
        <n v="-4883.29"/>
        <n v="-4004.5"/>
        <n v="-13904.18"/>
        <n v="-7177.35"/>
        <n v="-11909.06"/>
        <n v="-19029.06"/>
        <n v="-4913.47"/>
        <n v="-5144.19"/>
        <n v="-4280.86"/>
        <n v="5508.07"/>
        <n v="-11906.8"/>
        <n v="-32468.57"/>
        <n v="-37629.54"/>
        <n v="-18870.93"/>
        <n v="-20723.86"/>
        <n v="-16488.5"/>
        <n v="-17323.0"/>
        <n v="-23136.47"/>
        <n v="-38732.04"/>
        <n v="-35943.74"/>
        <n v="-19349.73"/>
        <n v="-22520.79"/>
        <n v="-17663.13"/>
        <n v="-15717.31"/>
        <n v="9980.15"/>
        <n v="12530.22"/>
        <n v="11333.05"/>
        <n v="5717.99"/>
        <n v="6608.04"/>
        <n v="5277.44"/>
        <n v="4736.59"/>
        <n v="4369.59"/>
        <n v="11557.54"/>
        <n v="13641.48"/>
        <n v="6514.25"/>
        <n v="7381.33"/>
        <n v="5433.32"/>
        <n v="6116.13"/>
        <n v="5036.6"/>
        <n v="8763.76"/>
        <n v="11057.87"/>
        <n v="5862.24"/>
        <n v="6198.23"/>
        <n v="6290.34"/>
        <n v="9584.58"/>
        <n v="7363.31"/>
        <n v="13161.94"/>
        <n v="13469.31"/>
        <n v="8369.59"/>
        <n v="9187.91"/>
        <n v="10011.7"/>
        <n v="6831.39"/>
        <n v="6508.01"/>
        <n v="10066.65"/>
        <n v="10008.32"/>
        <n v="4193.64"/>
        <n v="5236.48"/>
        <n v="4254.62"/>
        <n v="-8324.17"/>
        <n v="-3959.37"/>
        <n v="-9714.41"/>
        <n v="-15387.38"/>
        <n v="-6517.49"/>
        <n v="-5852.65"/>
        <n v="-5049.12"/>
        <n v="-5979.44"/>
        <n v="-5363.85"/>
        <n v="-11228.66"/>
        <n v="-12163.93"/>
        <n v="-7253.98"/>
        <n v="-5980.36"/>
        <n v="5888.34"/>
        <n v="-7292.0"/>
        <n v="-14054.14"/>
        <n v="-20872.07"/>
        <n v="-21686.02"/>
        <n v="-9507.64"/>
        <n v="-9853.37"/>
        <n v="-8337.95"/>
        <n v="-14267.3"/>
        <n v="-19539.14"/>
        <n v="-22138.08"/>
        <n v="-22751.45"/>
        <n v="-13137.71"/>
        <n v="-14412.27"/>
        <n v="-9614.04"/>
        <n v="6906.28"/>
        <n v="5900.47"/>
        <n v="7723.79"/>
        <n v="8478.38"/>
        <n v="4817.43"/>
        <n v="5191.01"/>
        <n v="3026.14"/>
        <n v="2120.06"/>
        <n v="4277.41"/>
        <n v="7319.65"/>
        <n v="10548.3"/>
        <n v="5231.3"/>
        <n v="4906.02"/>
        <n v="3892.62"/>
        <n v="5252.6"/>
        <n v="4320.35"/>
        <n v="15539.06"/>
        <n v="16141.02"/>
        <n v="7698.79"/>
        <n v="7176.04"/>
        <n v="6129.01"/>
        <n v="1628.22"/>
        <n v="1832.01"/>
        <n v="4881.94"/>
        <n v="7072.25"/>
        <n v="5233.52"/>
        <n v="16252.54"/>
        <n v="11129.15"/>
        <n v="9186.17"/>
        <n v="8303.17"/>
        <n v="10302.25"/>
        <n v="10844.08"/>
        <n v="6144.15"/>
        <n v="5951.21"/>
        <n v="4228.65"/>
        <n v="3205.72"/>
        <n v="2630.12"/>
        <n v="7370.18"/>
        <n v="8787.21"/>
        <n v="4594.99"/>
        <n v="5420.0"/>
        <n v="3662.48"/>
        <n v="3993.99"/>
        <n v="3610.07"/>
        <n v="9210.27"/>
        <n v="9732.58"/>
        <n v="4747.96"/>
        <n v="3783.87"/>
        <n v="6950.23"/>
        <n v="6400.87"/>
        <n v="5473.28"/>
        <n v="9948.63"/>
        <n v="11800.31"/>
        <n v="6287.32"/>
        <n v="7704.44"/>
        <n v="16255.43"/>
        <n v="11354.37"/>
        <n v="7625.59"/>
        <n v="11673.68"/>
        <n v="12622.73"/>
        <n v="6208.83"/>
        <n v="6557.89"/>
        <n v="5787.45"/>
        <n v="4568.03"/>
        <n v="3977.91"/>
        <n v="8383.18"/>
        <n v="8735.7"/>
        <n v="4834.17"/>
        <n v="4765.98"/>
        <n v="7404.93"/>
      </sharedItems>
    </cacheField>
    <cacheField name="Gross Profit Change">
      <sharedItems containsMixedTypes="1" containsNumber="1">
        <s v="null"/>
        <n v="-498.98"/>
        <n v="5436.79"/>
        <n v="-1504.21"/>
        <n v="-4192.16"/>
        <n v="291.8"/>
        <n v="2714.01"/>
        <n v="-3199.72"/>
        <n v="1580.55"/>
        <n v="7968.0"/>
        <n v="533.41"/>
        <n v="508.11"/>
        <n v="-104.15"/>
        <n v="-1095.59"/>
        <n v="400.64"/>
        <n v="-702.83"/>
        <n v="-207.67"/>
        <n v="-231.9"/>
        <n v="1202.82"/>
        <n v="240.05"/>
        <n v="-1482.32"/>
        <n v="52.27"/>
        <n v="-34.19"/>
        <n v="-884.08"/>
        <n v="464.74"/>
        <n v="1021.24"/>
        <n v="501.54"/>
        <n v="-1334.5"/>
        <n v="-325.78"/>
        <n v="-329.46"/>
        <n v="282.05"/>
        <n v="-46.33"/>
        <n v="1201.84"/>
        <n v="689.05"/>
        <n v="-806.35"/>
        <n v="719.83"/>
        <n v="-1056.54"/>
        <n v="-9553.1"/>
        <n v="8259.45"/>
        <n v="-12312.06"/>
        <n v="-1706.26"/>
        <n v="7328.94"/>
        <n v="-748.5"/>
        <n v="2775.75"/>
        <n v="864.89"/>
        <n v="724.72"/>
        <n v="-3882.7"/>
        <n v="374.18"/>
        <n v="3361.09"/>
        <n v="796.48"/>
        <n v="4215.45"/>
        <n v="-3437.94"/>
        <n v="4315.41"/>
        <n v="-7179.63"/>
        <n v="-6725.58"/>
        <n v="8638.0"/>
        <n v="901.87"/>
        <n v="-1192.61"/>
        <n v="-610.76"/>
        <n v="-18473.42"/>
        <n v="-3144.32"/>
        <n v="-622.91"/>
        <n v="8751.05"/>
        <n v="-2087.79"/>
        <n v="5761.03"/>
        <n v="2060.92"/>
        <n v="10585.95"/>
        <n v="-18124.54"/>
        <n v="-2895.63"/>
        <n v="12461.48"/>
        <n v="-2521.48"/>
        <n v="7056.19"/>
        <n v="-1097.01"/>
        <n v="1141.83"/>
        <n v="-6513.36"/>
        <n v="-5375.36"/>
        <n v="9626.78"/>
        <n v="-513.2"/>
        <n v="11364.5"/>
        <n v="-147.21"/>
        <n v="3919.58"/>
        <n v="870.02"/>
        <n v="-1167.93"/>
        <n v="-4619.44"/>
        <n v="541.39"/>
        <n v="-841.84"/>
        <n v="202.21"/>
        <n v="-1769.17"/>
        <n v="3358.11"/>
        <n v="494.56"/>
        <n v="-1778.37"/>
        <n v="306.96"/>
        <n v="1187.5"/>
        <n v="-2580.04"/>
        <n v="-775.58"/>
        <n v="1338.68"/>
        <n v="752.18"/>
        <n v="-1235.98"/>
        <n v="-1208.03"/>
        <n v="2489.75"/>
        <n v="-51.92"/>
        <n v="-7515.59"/>
        <n v="-3420.7"/>
        <n v="-1323.38"/>
        <n v="5027.76"/>
        <n v="-891.42"/>
        <n v="-1591.4"/>
        <n v="-1347.8"/>
        <n v="-8192.81"/>
        <n v="3814.73"/>
        <n v="2592.35"/>
        <n v="6373.42"/>
        <n v="-1333.01"/>
        <n v="-617.33"/>
        <n v="7370.1"/>
        <n v="-275.88"/>
        <n v="1181.69"/>
        <n v="480.08"/>
        <n v="-1971.76"/>
        <n v="-262.89"/>
        <n v="-222.43"/>
        <n v="2768.4"/>
        <n v="431.91"/>
        <n v="1910.79"/>
        <n v="-2713.56"/>
        <n v="-2354.31"/>
        <n v="-53.68"/>
        <n v="2265.61"/>
        <n v="-5130.05"/>
        <n v="4076.81"/>
        <n v="-25249.87"/>
        <n v="-10947.46"/>
        <n v="18057.56"/>
        <n v="1078.76"/>
        <n v="2895.2"/>
        <n v="-5451.45"/>
        <n v="-2763.21"/>
        <n v="-6734.14"/>
        <n v="-1515.0"/>
        <n v="20046.92"/>
        <n v="923.97"/>
        <n v="-2605.15"/>
        <n v="42.78"/>
        <n v="10045.64"/>
        <n v="-19216.94"/>
        <n v="-4849.81"/>
        <n v="17003.22"/>
        <n v="-818.5"/>
        <n v="-945.8"/>
        <n v="-844.38"/>
        <n v="1519.01"/>
        <n v="-10812.24"/>
        <n v="-4008.94"/>
        <n v="5304.08"/>
        <n v="895.72"/>
        <n v="3614.97"/>
        <n v="2199.15"/>
        <n v="2661.67"/>
        <n v="-4260.25"/>
        <n v="-3412.79"/>
        <n v="8025.91"/>
        <n v="1404.9"/>
        <n v="-843.02"/>
        <n v="266.65"/>
        <n v="-832.53"/>
        <n v="-9992.78"/>
        <n v="-1230.62"/>
        <n v="9387.63"/>
        <n v="1587.87"/>
        <n v="-982.1"/>
        <n v="918.32"/>
        <n v="1989.61"/>
        <n v="3622.64"/>
        <n v="-1388.11"/>
        <n v="3145.63"/>
        <n v="-479.78"/>
        <n v="2301.43"/>
        <n v="758.67"/>
        <n v="-59.82"/>
        <n v="2326.34"/>
        <n v="737.94"/>
        <n v="-3167.03"/>
        <n v="1335.76"/>
        <n v="3014.64"/>
        <n v="-3195.14"/>
        <n v="-621.53"/>
        <n v="140.84"/>
        <n v="502.35"/>
        <n v="-1265.8"/>
        <n v="26.7"/>
        <n v="1116.57"/>
        <n v="-737.99"/>
        <n v="421.47"/>
        <n v="657.24"/>
        <n v="-796.02"/>
        <n v="-1253.88"/>
        <n v="656.2"/>
        <n v="859.73"/>
        <n v="-10955.52"/>
        <n v="10082.87"/>
        <n v="1025.31"/>
        <n v="-16024.41"/>
        <n v="15078.63"/>
        <n v="37.07"/>
        <n v="-699.89"/>
        <n v="-9378.1"/>
        <n v="11184.53"/>
        <n v="-25762.82"/>
        <n v="-1518.67"/>
        <n v="13148.06"/>
        <n v="-941.55"/>
        <n v="3217.55"/>
        <n v="771.59"/>
        <n v="-3829.58"/>
        <n v="-12732.57"/>
        <n v="-648.1"/>
        <n v="12867.42"/>
        <n v="-2311.89"/>
        <n v="4079.52"/>
        <n v="13507.97"/>
        <n v="857.12"/>
        <n v="-20993.59"/>
        <n v="1363.6"/>
        <n v="8259.94"/>
        <n v="-1322.51"/>
        <n v="1674.24"/>
        <n v="-303.08"/>
        <n v="637.32"/>
        <n v="-11458.85"/>
        <n v="-3114.94"/>
        <n v="11663.34"/>
        <n v="-619.18"/>
        <n v="3659.21"/>
        <n v="3513.27"/>
        <n v="104.26"/>
        <n v="-4195.62"/>
        <n v="-2389.39"/>
        <n v="5661.2"/>
        <n v="-2933.94"/>
        <n v="-10146.68"/>
        <n v="-12586.52"/>
        <n v="520.13"/>
        <n v="-37828.19"/>
        <n v="-13761.59"/>
        <n v="40300.57"/>
        <n v="-27505.74"/>
        <n v="13886.99"/>
        <n v="897.62"/>
        <n v="17247.58"/>
        <n v="-21622.52"/>
        <n v="-5978.26"/>
        <n v="36531.32"/>
        <n v="-1217.28"/>
        <n v="30830.59"/>
        <n v="-1013.82"/>
        <n v="-279.11"/>
        <n v="1292.5"/>
        <n v="394.37"/>
        <n v="-1585.3"/>
        <n v="654.82"/>
        <n v="-691.37"/>
        <n v="-154.66"/>
        <n v="-151.05"/>
        <n v="732.98"/>
        <n v="314.88"/>
        <n v="-1106.27"/>
        <n v="75.64"/>
        <n v="75.46"/>
        <n v="-14883.45"/>
        <n v="-10956.6"/>
        <n v="-15914.63"/>
        <n v="-3474.57"/>
        <n v="23401.45"/>
        <n v="994.2"/>
        <n v="-7202.6"/>
        <n v="-18069.83"/>
        <n v="9303.92"/>
        <n v="-3681.47"/>
        <n v="-10399.63"/>
        <n v="28420.93"/>
        <n v="-7306.37"/>
        <n v="32390.75"/>
        <n v="-492.69"/>
        <n v="1848.22"/>
        <n v="3868.48"/>
        <n v="-2237.93"/>
        <n v="-3800.7"/>
        <n v="1362.21"/>
        <n v="-1150.87"/>
        <n v="2821.36"/>
        <n v="-1936.0"/>
        <n v="-33.85"/>
        <n v="897.9"/>
        <n v="-2224.81"/>
        <n v="71.94"/>
        <n v="118.43"/>
        <n v="-407.66"/>
        <n v="148.43"/>
        <n v="4301.21"/>
        <n v="1578.5"/>
        <n v="-4810.52"/>
        <n v="751.84"/>
        <n v="-2072.83"/>
        <n v="-581.17"/>
        <n v="-467.94"/>
        <n v="1921.28"/>
        <n v="1481.62"/>
        <n v="-1984.46"/>
        <n v="1257.84"/>
        <n v="4207.56"/>
        <n v="-3411.15"/>
        <n v="-2502.72"/>
        <n v="1247.23"/>
        <n v="397.88"/>
        <n v="-1905.2"/>
        <n v="14.4"/>
        <n v="-829.19"/>
        <n v="-159.58"/>
        <n v="-111.02"/>
        <n v="1777.37"/>
        <n v="973.96"/>
        <n v="-1821.61"/>
        <n v="-71.08"/>
        <n v="-421.11"/>
        <n v="-353.89"/>
        <n v="-116.81"/>
        <n v="5778.69"/>
        <n v="-462.53"/>
        <n v="-1992.25"/>
        <n v="-972.36"/>
        <n v="1502.17"/>
        <n v="-539.87"/>
        <n v="740.39"/>
        <n v="1108.66"/>
        <n v="2275.75"/>
        <n v="-581.44"/>
        <n v="-16.67"/>
        <n v="-5157.18"/>
        <n v="-750.66"/>
        <n v="-1441.85"/>
        <n v="-228.71"/>
        <n v="-4893.6"/>
        <n v="-2599.64"/>
        <n v="6268.22"/>
        <n v="-628.67"/>
        <n v="-5914.9"/>
        <n v="-5585.93"/>
        <n v="-9054.38"/>
        <n v="-11069.68"/>
        <n v="18386.48"/>
        <n v="-7415.8"/>
        <n v="8709.81"/>
        <n v="1306.68"/>
        <n v="-6850.1"/>
        <n v="-6096.56"/>
        <n v="-5038.05"/>
        <n v="13400.13"/>
        <n v="11187.27"/>
        <n v="-4608.58"/>
        <n v="553.64"/>
        <n v="6839.51"/>
        <n v="1913.85"/>
        <n v="-1296.02"/>
        <n v="790.05"/>
        <n v="-1264.73"/>
        <n v="-16638.15"/>
        <n v="-13623.78"/>
        <n v="22949.02"/>
        <n v="-13909.0"/>
        <n v="1996.57"/>
        <n v="5888.8"/>
        <n v="-3511.76"/>
        <n v="3749.64"/>
        <n v="14242.41"/>
        <n v="-20.97"/>
        <n v="-1011.44"/>
        <n v="-0.48"/>
        <n v="1131.23"/>
        <n v="-275.25"/>
        <n v="402.79"/>
        <n v="176.48"/>
        <n v="-107.02"/>
        <n v="-1329.94"/>
        <n v="-336.02"/>
        <n v="1663.3"/>
        <n v="292.84"/>
        <n v="-340.69"/>
        <n v="-40.61"/>
        <n v="-53.05"/>
        <n v="-1959.74"/>
        <n v="0.59"/>
        <n v="1657.55"/>
        <n v="-274.92"/>
        <n v="356.16"/>
        <n v="325.06"/>
        <n v="75.25"/>
        <n v="-1460.11"/>
        <n v="-939.8"/>
        <n v="438.6"/>
        <n v="771.15"/>
        <n v="848.86"/>
        <n v="844.23"/>
        <n v="522.32"/>
        <n v="160.67"/>
        <n v="291.03"/>
        <n v="-260.31"/>
        <n v="815.18"/>
        <n v="-10666.04"/>
        <n v="-1644.29"/>
        <n v="2263.51"/>
        <n v="-14613.44"/>
        <n v="-3688.49"/>
        <n v="14334.0"/>
        <n v="-1012.87"/>
        <n v="5455.4"/>
        <n v="-913.01"/>
        <n v="1179.04"/>
        <n v="-8673.05"/>
        <n v="1520.44"/>
        <n v="7680.75"/>
        <n v="8939.78"/>
        <n v="-6365.51"/>
        <n v="-5675.0"/>
        <n v="2054.86"/>
        <n v="-8443.36"/>
        <n v="-6675.21"/>
        <n v="4264.16"/>
        <n v="1863.48"/>
        <n v="-1377.04"/>
        <n v="-1232.9"/>
        <n v="9011.99"/>
        <n v="-10522.99"/>
        <n v="-3197.03"/>
        <n v="26034.18"/>
        <n v="88.14"/>
        <n v="-374.2"/>
        <n v="-0.22"/>
        <n v="-98.89"/>
        <n v="438.89"/>
        <n v="252.02"/>
        <n v="-668.23"/>
        <n v="164.51"/>
        <n v="-153.32"/>
        <n v="-73.76"/>
        <n v="-54.96"/>
        <n v="195.77"/>
        <n v="103.87"/>
        <n v="-333.61"/>
        <n v="12.15"/>
        <n v="-11524.58"/>
        <n v="-11661.55"/>
        <n v="1799.32"/>
        <n v="-11096.62"/>
        <n v="-9604.61"/>
        <n v="21620.99"/>
        <n v="641.03"/>
        <n v="-11838.11"/>
        <n v="-12135.49"/>
        <n v="-18900.51"/>
        <n v="18619.4"/>
        <n v="9299.91"/>
        <n v="22812.97"/>
        <n v="-4181.25"/>
        <n v="14363.03"/>
        <n v="1914.49"/>
        <n v="-75.46"/>
        <n v="150.02"/>
        <n v="50.93"/>
        <n v="-164.8"/>
        <n v="137.85"/>
        <n v="398.75"/>
        <n v="472.71"/>
        <n v="-136.32"/>
        <n v="1330.75"/>
        <n v="794.72"/>
        <n v="-1724.34"/>
        <n v="-46.82"/>
        <n v="175.64"/>
        <n v="-9228.37"/>
        <n v="9390.48"/>
        <n v="-20667.87"/>
        <n v="-19620.11"/>
        <n v="27828.76"/>
        <n v="569.5"/>
        <n v="-218.02"/>
        <n v="-255.02"/>
        <n v="-10270.66"/>
        <n v="-5734.39"/>
        <n v="-8682.28"/>
        <n v="21447.36"/>
        <n v="-2694.89"/>
        <n v="4655.36"/>
        <n v="-5487.7"/>
        <n v="18694.55"/>
        <n v="-26404.73"/>
        <n v="-4879.17"/>
        <n v="17147.97"/>
        <n v="-2526.46"/>
        <n v="376.49"/>
        <n v="2038.58"/>
        <n v="1376.84"/>
        <n v="-17778.25"/>
        <n v="-2649.69"/>
        <n v="18217.64"/>
        <n v="-1438.12"/>
        <n v="5184.84"/>
        <n v="-2486.72"/>
        <n v="15233.01"/>
        <n v="-27507.61"/>
        <n v="-7554.37"/>
        <n v="19342.99"/>
        <n v="-6861.41"/>
        <n v="4405.44"/>
        <n v="-3363.02"/>
        <n v="1959.45"/>
        <n v="-19366.99"/>
        <n v="-6010.32"/>
        <n v="21923.42"/>
        <n v="-13870.03"/>
        <n v="8211.4"/>
        <n v="5193.65"/>
        <n v="5374.27"/>
        <n v="-7194.77"/>
        <n v="-4204.93"/>
        <n v="12936.04"/>
        <n v="17390.14"/>
        <n v="-900.33"/>
        <n v="-213.94"/>
        <n v="-81.01"/>
        <n v="3284.45"/>
        <n v="1028.52"/>
        <n v="-3642.43"/>
        <n v="2418.98"/>
        <n v="-1871.51"/>
        <n v="-233.8"/>
        <n v="-360.58"/>
        <n v="2822.82"/>
        <n v="1120.74"/>
        <n v="-3285.93"/>
        <n v="-173.59"/>
        <n v="-770.16"/>
        <n v="-9601.73"/>
        <n v="-4706.87"/>
        <n v="-8139.98"/>
        <n v="-3110.32"/>
        <n v="11325.6"/>
        <n v="1133.27"/>
        <n v="-2900.5"/>
        <n v="-5803.08"/>
        <n v="3436.62"/>
        <n v="-602.2"/>
        <n v="-2477.06"/>
        <n v="9564.0"/>
        <n v="-1105.65"/>
        <n v="2155.39"/>
        <n v="7883.38"/>
        <n v="-935.42"/>
        <n v="-803.56"/>
        <n v="355.05"/>
        <n v="251.02"/>
        <n v="-63.37"/>
        <n v="89.84"/>
        <n v="-134.94"/>
        <n v="-446.23"/>
        <n v="-1615.33"/>
        <n v="413.24"/>
        <n v="1142.27"/>
        <n v="474.02"/>
        <n v="-442.88"/>
        <n v="714.81"/>
        <n v="-1359.99"/>
        <n v="-2214.71"/>
        <n v="-173.82"/>
        <n v="1538.27"/>
        <n v="-25.75"/>
        <n v="1282.64"/>
        <n v="34.43"/>
        <n v="152.19"/>
        <n v="-2912.59"/>
        <n v="-549.81"/>
        <n v="2718.75"/>
        <n v="701.77"/>
        <n v="-772.31"/>
        <n v="204.0"/>
        <n v="-82.87"/>
        <n v="-757.15"/>
        <n v="-472.55"/>
        <n v="1378.74"/>
        <n v="-222.96"/>
        <n v="346.3"/>
        <n v="200.48"/>
        <n v="199.86"/>
        <n v="-2153.79"/>
        <n v="-1111.55"/>
        <n v="1683.24"/>
        <n v="421.93"/>
        <n v="1435.18"/>
        <n v="806.09"/>
        <n v="217.69"/>
        <n v="-1348.46"/>
        <n v="-481.12"/>
        <n v="1907.68"/>
        <n v="231.42"/>
        <n v="-28949.67"/>
        <n v="-2341.1"/>
        <n v="7519.89"/>
        <n v="-15030.6"/>
        <n v="-4246.0"/>
        <n v="25487.67"/>
        <n v="-11508.01"/>
        <n v="-3884.31"/>
        <n v="5254.91"/>
        <n v="6247.14"/>
        <n v="-4126.67"/>
        <n v="-1792.12"/>
        <n v="15783.33"/>
        <n v="-1658.19"/>
        <n v="17233.73"/>
        <n v="155.27"/>
        <n v="-712.33"/>
        <n v="1289.94"/>
        <n v="-1339.32"/>
        <n v="-1324.75"/>
        <n v="788.07"/>
        <n v="-103.3"/>
        <n v="-811.62"/>
        <n v="77.73"/>
        <n v="1955.68"/>
        <n v="162.33"/>
        <n v="-1558.51"/>
        <n v="591.53"/>
        <n v="-25.44"/>
        <n v="-16193.65"/>
        <n v="-4266.97"/>
        <n v="-27835.06"/>
        <n v="-803.83"/>
        <n v="24192.84"/>
        <n v="-3564.49"/>
        <n v="5831.72"/>
        <n v="-25039.22"/>
        <n v="-12087.37"/>
        <n v="2217.68"/>
        <n v="-9693.54"/>
        <n v="34991.63"/>
        <n v="-12882.57"/>
        <n v="10667.54"/>
        <n v="33698.27"/>
        <n v="-152.47"/>
        <n v="2092.82"/>
        <n v="-214.57"/>
        <n v="-1955.5"/>
        <n v="20.3"/>
        <n v="-556.4"/>
        <n v="66.84"/>
        <n v="365.06"/>
        <n v="1785.7"/>
        <n v="26.07"/>
        <n v="-1632.73"/>
        <n v="-141.35"/>
        <n v="-410.8"/>
        <n v="359.79"/>
        <n v="74.16"/>
        <n v="-8508.49"/>
        <n v="-2536.65"/>
        <n v="4995.84"/>
        <n v="-516.18"/>
        <n v="-310.73"/>
        <n v="-10275.36"/>
        <n v="10097.23"/>
        <n v="-7243.86"/>
        <n v="-25630.91"/>
        <n v="25013.23"/>
        <n v="803.23"/>
        <n v="3235.43"/>
        <n v="-10087.47"/>
        <n v="14449.73"/>
        <n v="-4435.62"/>
        <n v="-17472.82"/>
        <n v="20571.34"/>
        <n v="10393.74"/>
        <n v="-16681.35"/>
        <n v="-1384.47"/>
        <n v="528.6"/>
        <n v="-19883.48"/>
        <n v="-1946.54"/>
        <n v="19129.56"/>
        <n v="-479.21"/>
        <n v="2166.12"/>
        <n v="325.5"/>
        <n v="310.66"/>
        <n v="-14310.7"/>
        <n v="-1270.79"/>
        <n v="14105.93"/>
        <n v="20431.81"/>
        <n v="-15770.94"/>
        <n v="-12457.97"/>
        <n v="-21007.58"/>
        <n v="-11548.98"/>
        <n v="-8806.29"/>
        <n v="28800.2"/>
        <n v="12128.28"/>
        <n v="-116.29"/>
        <n v="2073.87"/>
        <n v="3308.35"/>
        <n v="-9697.21"/>
        <n v="-4098.4"/>
        <n v="16821.17"/>
        <n v="21478.01"/>
        <n v="-10433.39"/>
        <n v="-166.27"/>
        <n v="-384.53"/>
        <n v="-3457.58"/>
        <n v="-18132.52"/>
        <n v="20164.76"/>
        <n v="-70.4"/>
        <n v="-10813.7"/>
        <n v="-174.22"/>
        <n v="-190.38"/>
        <n v="-5075.32"/>
        <n v="-2424.83"/>
        <n v="12607.18"/>
        <n v="-11432.4"/>
        <n v="-1632.69"/>
        <n v="43920.46"/>
        <n v="9085.77"/>
        <n v="-18466.52"/>
        <n v="-3463.48"/>
        <n v="-995.19"/>
        <n v="4613.72"/>
        <n v="-23631.11"/>
        <n v="-4366.42"/>
        <n v="-9995.17"/>
        <n v="18674.17"/>
        <n v="-13456.52"/>
        <n v="8473.15"/>
        <n v="-9804.68"/>
        <n v="5681.85"/>
        <n v="25940.67"/>
        <n v="-1624.07"/>
        <n v="2158.31"/>
        <n v="2095.53"/>
        <n v="-3191.83"/>
        <n v="2348.27"/>
        <n v="-1603.6"/>
        <n v="-2391.85"/>
        <n v="-332.69"/>
        <n v="6267.54"/>
        <n v="2948.03"/>
        <n v="-7132.8"/>
        <n v="408.42"/>
        <n v="-1926.08"/>
        <n v="-27820.27"/>
        <n v="27912.66"/>
        <n v="-32525.7"/>
        <n v="-3447.15"/>
        <n v="16454.05"/>
        <n v="-5083.77"/>
        <n v="2716.88"/>
        <n v="-544.3"/>
        <n v="2406.11"/>
        <n v="-24342.73"/>
        <n v="-10054.5"/>
        <n v="28710.98"/>
        <n v="-11614.72"/>
        <n v="14643.59"/>
        <n v="1296.29"/>
        <n v="4638.81"/>
        <n v="-7944.64"/>
        <n v="-2783.65"/>
        <n v="11863.32"/>
        <n v="-2424.33"/>
        <n v="22696.37"/>
        <n v="468.79"/>
        <n v="-1738.08"/>
        <n v="10712.88"/>
        <n v="2746.04"/>
        <n v="-10389.37"/>
        <n v="3163.0"/>
        <n v="-5700.71"/>
        <n v="-17633.94"/>
        <n v="16663.6"/>
        <n v="9724.14"/>
        <n v="-38060.17"/>
        <n v="30732.73"/>
        <n v="-1238.04"/>
        <n v="-3722.68"/>
        <n v="-5748.52"/>
        <n v="-1442.52"/>
        <n v="7282.98"/>
        <n v="285.71"/>
        <n v="-861.57"/>
        <n v="-2310.36"/>
        <n v="-4880.45"/>
        <n v="-1098.84"/>
        <n v="989.62"/>
        <n v="331.11"/>
        <n v="658.67"/>
        <n v="1053.61"/>
        <n v="-3825.01"/>
        <n v="2209.71"/>
        <n v="4237.05"/>
        <n v="-77.46"/>
        <n v="2600.56"/>
        <n v="-155.9"/>
        <n v="-2596.71"/>
        <n v="485.71"/>
        <n v="547.81"/>
        <n v="-828.43"/>
        <n v="-342.18"/>
        <n v="2474.41"/>
        <n v="869.76"/>
        <n v="-2179.56"/>
        <n v="-370.12"/>
        <n v="1031.68"/>
        <n v="-484.62"/>
        <n v="-236.18"/>
        <n v="2755.0"/>
        <n v="-4421.37"/>
        <n v="-816.41"/>
        <n v="-95.31"/>
        <n v="-341.75"/>
        <n v="-4359.88"/>
        <n v="-3301.93"/>
        <n v="-5527.82"/>
        <n v="3336.7"/>
        <n v="4785.14"/>
        <n v="5764.42"/>
        <n v="1003.53"/>
        <n v="2080.54"/>
        <n v="-19998.61"/>
        <n v="-11314.98"/>
        <n v="1888.57"/>
        <n v="16483.24"/>
        <n v="-1932.34"/>
        <n v="1316.74"/>
        <n v="1077.46"/>
        <n v="-1600.81"/>
        <n v="-9099.47"/>
        <n v="1171.92"/>
        <n v="7628.24"/>
        <n v="1687.15"/>
        <n v="1840.63"/>
        <n v="-5794.75"/>
        <n v="-2063.65"/>
        <n v="-14263.4"/>
        <n v="-5724.39"/>
        <n v="18451.5"/>
        <n v="-5580.54"/>
        <n v="-342.45"/>
        <n v="-2348.16"/>
        <n v="4968.61"/>
        <n v="-14133.15"/>
        <n v="-8399.73"/>
        <n v="16405.35"/>
        <n v="3941.84"/>
        <n v="-572.41"/>
        <n v="2747.18"/>
        <n v="2957.73"/>
        <n v="-6928.74"/>
        <n v="-2947.5"/>
        <n v="16904.92"/>
        <n v="18210.67"/>
        <n v="-3048.02"/>
        <n v="-989.88"/>
        <n v="-980.41"/>
        <n v="7121.13"/>
        <n v="297.06"/>
        <n v="-4173.14"/>
        <n v="-1152.77"/>
        <n v="-518.25"/>
        <n v="-691.86"/>
        <n v="651.61"/>
        <n v="7730.87"/>
        <n v="295.98"/>
        <n v="-5008.43"/>
        <n v="1022.67"/>
        <n v="-13516.95"/>
        <n v="-10986.43"/>
        <n v="2304.48"/>
        <n v="-9428.68"/>
        <n v="-1781.26"/>
        <n v="11444.59"/>
        <n v="1831.27"/>
        <n v="-4497.49"/>
        <n v="-7718.73"/>
        <n v="5657.23"/>
        <n v="-4887.96"/>
        <n v="-2044.06"/>
        <n v="11720.15"/>
        <n v="1685.92"/>
        <n v="20533.96"/>
        <n v="-19899.99"/>
        <n v="5329.88"/>
        <n v="-4005.17"/>
        <n v="-8891.55"/>
        <n v="12939.12"/>
        <n v="113.26"/>
        <n v="878.79"/>
        <n v="-9899.68"/>
        <n v="6726.83"/>
        <n v="-4731.71"/>
        <n v="-7120.0"/>
        <n v="14115.59"/>
        <n v="-230.72"/>
        <n v="863.33"/>
        <n v="9788.92"/>
        <n v="-17414.86"/>
        <n v="-20561.78"/>
        <n v="-5160.97"/>
        <n v="18758.62"/>
        <n v="-1852.93"/>
        <n v="4235.35"/>
        <n v="-834.49"/>
        <n v="-5813.47"/>
        <n v="-15595.57"/>
        <n v="2788.3"/>
        <n v="16594.01"/>
        <n v="-3171.06"/>
        <n v="4857.66"/>
        <n v="1945.82"/>
        <n v="25697.46"/>
        <n v="2550.07"/>
        <n v="-1197.17"/>
        <n v="-5615.06"/>
        <n v="890.05"/>
        <n v="-1330.61"/>
        <n v="-540.85"/>
        <n v="-366.99"/>
        <n v="7187.95"/>
        <n v="2083.94"/>
        <n v="-7127.24"/>
        <n v="867.09"/>
        <n v="-1948.01"/>
        <n v="682.81"/>
        <n v="-1079.54"/>
        <n v="3727.16"/>
        <n v="2294.11"/>
        <n v="-5195.63"/>
        <n v="335.99"/>
        <n v="92.11"/>
        <n v="3294.25"/>
        <n v="-2221.27"/>
        <n v="5798.63"/>
        <n v="307.37"/>
        <n v="-5099.72"/>
        <n v="818.32"/>
        <n v="823.79"/>
        <n v="-3180.31"/>
        <n v="-323.38"/>
        <n v="3558.64"/>
        <n v="-58.33"/>
        <n v="-5814.69"/>
        <n v="1042.84"/>
        <n v="-981.86"/>
        <n v="-12578.79"/>
        <n v="4364.8"/>
        <n v="-5755.04"/>
        <n v="-5672.97"/>
        <n v="8869.89"/>
        <n v="664.84"/>
        <n v="803.53"/>
        <n v="-930.32"/>
        <n v="615.59"/>
        <n v="-5864.82"/>
        <n v="-935.26"/>
        <n v="4909.95"/>
        <n v="1273.62"/>
        <n v="11868.7"/>
        <n v="-13180.34"/>
        <n v="-6762.14"/>
        <n v="-6817.93"/>
        <n v="-813.95"/>
        <n v="12178.38"/>
        <n v="-345.72"/>
        <n v="1515.41"/>
        <n v="-5929.35"/>
        <n v="-5271.84"/>
        <n v="-2598.94"/>
        <n v="-613.37"/>
        <n v="9613.74"/>
        <n v="-1274.56"/>
        <n v="4798.23"/>
        <n v="16520.32"/>
        <n v="-1005.81"/>
        <n v="1823.32"/>
        <n v="754.59"/>
        <n v="-3660.95"/>
        <n v="373.58"/>
        <n v="-2164.88"/>
        <n v="-906.08"/>
        <n v="2157.35"/>
        <n v="3042.23"/>
        <n v="3228.66"/>
        <n v="-5317.0"/>
        <n v="-325.28"/>
        <n v="-1013.41"/>
        <n v="1359.98"/>
        <n v="-932.25"/>
        <n v="11218.71"/>
        <n v="601.96"/>
        <n v="-8442.23"/>
        <n v="-522.75"/>
        <n v="-1047.03"/>
        <n v="-4500.79"/>
        <n v="203.78"/>
        <n v="3049.93"/>
        <n v="2190.32"/>
        <n v="-1838.74"/>
        <n v="11019.02"/>
        <n v="-5123.38"/>
        <n v="-1942.99"/>
        <n v="-883.0"/>
        <n v="1999.08"/>
        <n v="541.82"/>
        <n v="-4699.93"/>
        <n v="-192.94"/>
        <n v="-1722.56"/>
        <n v="-1022.93"/>
        <n v="-575.6"/>
        <n v="4740.06"/>
        <n v="1417.04"/>
        <n v="-4192.22"/>
        <n v="825.01"/>
        <n v="-1757.52"/>
        <n v="331.51"/>
        <n v="-383.92"/>
        <n v="5600.2"/>
        <n v="522.31"/>
        <n v="-4984.61"/>
        <n v="-964.09"/>
        <n v="3166.36"/>
        <n v="-549.36"/>
        <n v="-927.59"/>
        <n v="4475.35"/>
        <n v="1851.68"/>
        <n v="-5512.99"/>
        <n v="1417.13"/>
        <n v="8550.98"/>
        <n v="-4901.06"/>
        <n v="-3728.78"/>
        <n v="4048.08"/>
        <n v="949.05"/>
        <n v="-6413.9"/>
        <n v="349.06"/>
        <n v="-770.44"/>
        <n v="-1219.42"/>
        <n v="-590.12"/>
        <n v="4405.27"/>
        <n v="352.51"/>
        <n v="-3901.52"/>
        <n v="-68.19"/>
        <n v="2638.95"/>
        <n v="-1603.83"/>
      </sharedItems>
    </cacheField>
    <cacheField name="Gross Profit Indicator" numFmtId="0">
      <sharedItems>
        <s v="No Change"/>
        <s v="Decline"/>
        <s v="Growth"/>
      </sharedItems>
    </cacheField>
    <cacheField name="date2" databaseField="0">
      <fieldGroup base="0">
        <rangePr autoStart="0" autoEnd="0" groupBy="years" startDate="2013-12-30T00:00:00Z" endDate="2016-11-17T00:00:00Z"/>
        <groupItems>
          <s v="&lt;12/30/13"/>
          <s v="113"/>
          <s v="114"/>
          <s v="115"/>
          <s v="116"/>
          <s v="&gt;11/17/16"/>
        </groupItems>
      </fieldGroup>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roduct Performance By Time" cacheId="0" dataCaption="" compact="0" compactData="0">
  <location ref="A2:B34" firstHeaderRow="0" firstDataRow="1" firstDataCol="0"/>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Transaction Year" compact="0" outline="0" multipleItemSelectionAllowed="1" showAll="0">
      <items>
        <item x="0"/>
        <item x="1"/>
        <item x="2"/>
        <item x="3"/>
        <item t="default"/>
      </items>
    </pivotField>
    <pivotField name="Transaction Month" compact="0" outline="0" multipleItemSelectionAllowed="1" showAll="0">
      <items>
        <item x="0"/>
        <item x="1"/>
        <item x="2"/>
        <item x="3"/>
        <item x="4"/>
        <item x="5"/>
        <item x="6"/>
        <item x="7"/>
        <item x="8"/>
        <item x="9"/>
        <item x="10"/>
        <item x="11"/>
        <item t="default"/>
      </items>
    </pivotField>
    <pivotField name="Transaction Day" axis="axisRow" compact="0" outline="0" multipleItemSelectionAllowed="1" showAll="0" sortType="ascending">
      <items>
        <item x="2"/>
        <item x="3"/>
        <item x="4"/>
        <item x="5"/>
        <item x="6"/>
        <item x="7"/>
        <item x="8"/>
        <item x="9"/>
        <item x="10"/>
        <item x="11"/>
        <item x="12"/>
        <item x="13"/>
        <item x="14"/>
        <item x="15"/>
        <item x="16"/>
        <item x="17"/>
        <item x="18"/>
        <item x="19"/>
        <item x="20"/>
        <item x="21"/>
        <item x="22"/>
        <item x="23"/>
        <item x="24"/>
        <item x="25"/>
        <item x="26"/>
        <item x="27"/>
        <item x="28"/>
        <item x="29"/>
        <item x="30"/>
        <item x="0"/>
        <item x="1"/>
        <item t="default"/>
      </items>
    </pivotField>
    <pivotField name="Transaction Dayname" compact="0" outline="0" multipleItemSelectionAllowed="1" showAll="0">
      <items>
        <item x="0"/>
        <item x="1"/>
        <item x="2"/>
        <item x="3"/>
        <item x="4"/>
        <item x="5"/>
        <item x="6"/>
        <item t="default"/>
      </items>
    </pivotField>
    <pivotField name="Quantity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t="default"/>
      </items>
    </pivotField>
    <pivotField name="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t="default"/>
      </items>
    </pivotField>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t="default"/>
      </items>
    </pivotField>
    <pivotField name="Unit Cost Of Sales"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Cost Of 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Daily Gross 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Daily % Gross Profi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t="default"/>
      </items>
    </pivotField>
    <pivotField name="Daily Gross Profit Per 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Daily % Gross Profit Per 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t="default"/>
      </items>
    </pivotField>
    <pivotField name="Promotion Status" compact="0" outline="0" multipleItemSelectionAllowed="1" showAll="0">
      <items>
        <item x="0"/>
        <item x="1"/>
        <item t="default"/>
      </items>
    </pivotField>
    <pivotField name="Promotion Period" compact="0" outline="0" multipleItemSelectionAllowed="1" showAll="0">
      <items>
        <item x="0"/>
        <item x="1"/>
        <item x="2"/>
        <item x="3"/>
        <item x="4"/>
        <item t="default"/>
      </items>
    </pivotField>
    <pivotField name="Price Elasticity of Demand" compact="0" outline="0" multipleItemSelectionAllowed="1" showAll="0">
      <items>
        <item x="0"/>
        <item x="1"/>
        <item x="2"/>
        <item x="3"/>
        <item x="4"/>
        <item t="default"/>
      </items>
    </pivotField>
  </pivotFields>
  <rowFields>
    <field x="3"/>
  </rowFields>
  <dataFields>
    <dataField name="SUM of Daily % Gross Profit" fld="11" baseField="0"/>
  </dataFields>
</pivotTableDefinition>
</file>

<file path=xl/pivotTables/pivotTable2.xml><?xml version="1.0" encoding="utf-8"?>
<pivotTableDefinition xmlns="http://schemas.openxmlformats.org/spreadsheetml/2006/main" name="Product Performance By Time 2" cacheId="0" dataCaption="" compact="0" compactData="0">
  <location ref="A37:B43" firstHeaderRow="0" firstDataRow="1" firstDataCol="0"/>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Transaction Year" compact="0" outline="0" multipleItemSelectionAllowed="1" showAll="0">
      <items>
        <item x="0"/>
        <item x="1"/>
        <item x="2"/>
        <item x="3"/>
        <item t="default"/>
      </items>
    </pivotField>
    <pivotField name="Transaction Month" compact="0" outline="0" multipleItemSelectionAllowed="1" showAll="0">
      <items>
        <item x="0"/>
        <item x="1"/>
        <item x="2"/>
        <item x="3"/>
        <item x="4"/>
        <item x="5"/>
        <item x="6"/>
        <item x="7"/>
        <item x="8"/>
        <item x="9"/>
        <item x="10"/>
        <item x="11"/>
        <item t="default"/>
      </items>
    </pivotField>
    <pivotField name="Transaction Da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Transaction Dayname" compact="0" outline="0" multipleItemSelectionAllowed="1" showAll="0">
      <items>
        <item x="0"/>
        <item x="1"/>
        <item x="2"/>
        <item x="3"/>
        <item x="4"/>
        <item x="5"/>
        <item x="6"/>
        <item t="default"/>
      </items>
    </pivotField>
    <pivotField name="Quantity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t="default"/>
      </items>
    </pivotField>
    <pivotField name="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t="default"/>
      </items>
    </pivotField>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t="default"/>
      </items>
    </pivotField>
    <pivotField name="Unit Cost Of Sales"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Cost Of 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Daily Gross 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Daily % Gross Profi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t="default"/>
      </items>
    </pivotField>
    <pivotField name="Daily Gross Profit Per 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Daily % Gross Profit Per 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t="default"/>
      </items>
    </pivotField>
    <pivotField name="Promotion Status" compact="0" outline="0" multipleItemSelectionAllowed="1" showAll="0">
      <items>
        <item x="0"/>
        <item x="1"/>
        <item t="default"/>
      </items>
    </pivotField>
    <pivotField name="Promotion Period" axis="axisRow" compact="0" outline="0" multipleItemSelectionAllowed="1" showAll="0" sortType="ascending">
      <items>
        <item x="1"/>
        <item x="0"/>
        <item x="2"/>
        <item x="3"/>
        <item x="4"/>
        <item t="default"/>
      </items>
    </pivotField>
    <pivotField name="Price Elasticity of Demand" compact="0" outline="0" multipleItemSelectionAllowed="1" showAll="0">
      <items>
        <item x="0"/>
        <item x="1"/>
        <item x="2"/>
        <item x="3"/>
        <item x="4"/>
        <item t="default"/>
      </items>
    </pivotField>
  </pivotFields>
  <rowFields>
    <field x="15"/>
  </rowFields>
  <dataFields>
    <dataField name="SUM of Daily % Gross Profit" fld="11" baseField="0"/>
  </dataFields>
</pivotTableDefinition>
</file>

<file path=xl/pivotTables/pivotTable3.xml><?xml version="1.0" encoding="utf-8"?>
<pivotTableDefinition xmlns="http://schemas.openxmlformats.org/spreadsheetml/2006/main" name="Product Performance By Time 3" cacheId="0" dataCaption="" compact="0" compactData="0">
  <location ref="A46:B78" firstHeaderRow="0" firstDataRow="1" firstDataCol="0"/>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Transaction Year" compact="0" outline="0" multipleItemSelectionAllowed="1" showAll="0">
      <items>
        <item x="0"/>
        <item x="1"/>
        <item x="2"/>
        <item x="3"/>
        <item t="default"/>
      </items>
    </pivotField>
    <pivotField name="Transaction Month" compact="0" outline="0" multipleItemSelectionAllowed="1" showAll="0">
      <items>
        <item x="0"/>
        <item x="1"/>
        <item x="2"/>
        <item x="3"/>
        <item x="4"/>
        <item x="5"/>
        <item x="6"/>
        <item x="7"/>
        <item x="8"/>
        <item x="9"/>
        <item x="10"/>
        <item x="11"/>
        <item t="default"/>
      </items>
    </pivotField>
    <pivotField name="Transaction Day" axis="axisRow" compact="0" outline="0" multipleItemSelectionAllowed="1" showAll="0" sortType="ascending">
      <items>
        <item x="2"/>
        <item x="3"/>
        <item x="4"/>
        <item x="5"/>
        <item x="6"/>
        <item x="7"/>
        <item x="8"/>
        <item x="9"/>
        <item x="10"/>
        <item x="11"/>
        <item x="12"/>
        <item x="13"/>
        <item x="14"/>
        <item x="15"/>
        <item x="16"/>
        <item x="17"/>
        <item x="18"/>
        <item x="19"/>
        <item x="20"/>
        <item x="21"/>
        <item x="22"/>
        <item x="23"/>
        <item x="24"/>
        <item x="25"/>
        <item x="26"/>
        <item x="27"/>
        <item x="28"/>
        <item x="29"/>
        <item x="30"/>
        <item x="0"/>
        <item x="1"/>
        <item t="default"/>
      </items>
    </pivotField>
    <pivotField name="Transaction Dayname" compact="0" outline="0" multipleItemSelectionAllowed="1" showAll="0">
      <items>
        <item x="0"/>
        <item x="1"/>
        <item x="2"/>
        <item x="3"/>
        <item x="4"/>
        <item x="5"/>
        <item x="6"/>
        <item t="default"/>
      </items>
    </pivotField>
    <pivotField name="Quantity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t="default"/>
      </items>
    </pivotField>
    <pivotField name="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t="default"/>
      </items>
    </pivotField>
    <pivotField name="Unit Pric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t="default"/>
      </items>
    </pivotField>
    <pivotField name="Unit Cost Of Sales"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Cost Of 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Daily Gross 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Daily % Gross 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t="default"/>
      </items>
    </pivotField>
    <pivotField name="Daily Gross Profit Per 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Daily % Gross Profit Per 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t="default"/>
      </items>
    </pivotField>
    <pivotField name="Promotion Status" compact="0" outline="0" multipleItemSelectionAllowed="1" showAll="0">
      <items>
        <item x="0"/>
        <item x="1"/>
        <item t="default"/>
      </items>
    </pivotField>
    <pivotField name="Promotion Period" compact="0" outline="0" multipleItemSelectionAllowed="1" showAll="0">
      <items>
        <item x="0"/>
        <item x="1"/>
        <item x="2"/>
        <item x="3"/>
        <item x="4"/>
        <item t="default"/>
      </items>
    </pivotField>
    <pivotField name="Price Elasticity of Demand" compact="0" outline="0" multipleItemSelectionAllowed="1" showAll="0">
      <items>
        <item x="0"/>
        <item x="1"/>
        <item x="2"/>
        <item x="3"/>
        <item x="4"/>
        <item t="default"/>
      </items>
    </pivotField>
  </pivotFields>
  <rowFields>
    <field x="3"/>
  </rowFields>
  <dataFields>
    <dataField name="AVERAGE of Unit Price" fld="7" subtotal="average" baseField="0"/>
  </dataFields>
</pivotTableDefinition>
</file>

<file path=xl/pivotTables/pivotTable4.xml><?xml version="1.0" encoding="utf-8"?>
<pivotTableDefinition xmlns="http://schemas.openxmlformats.org/spreadsheetml/2006/main" name="Product Performance By Time 4" cacheId="0" dataCaption="" rowGrandTotals="0" compact="0" compactData="0">
  <location ref="A80:C116" firstHeaderRow="0" firstDataRow="2" firstDataCol="0"/>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Transaction Year" axis="axisRow" compact="0" outline="0" multipleItemSelectionAllowed="1" showAll="0" sortType="ascending" defaultSubtotal="0">
      <items>
        <item x="0"/>
        <item x="1"/>
        <item x="2"/>
        <item x="3"/>
      </items>
    </pivotField>
    <pivotField name="Transaction Month" axis="axisRow" compact="0" outline="0" multipleItemSelectionAllowed="1" showAll="0" sortType="ascending">
      <items>
        <item x="4"/>
        <item x="8"/>
        <item x="0"/>
        <item x="2"/>
        <item x="1"/>
        <item x="7"/>
        <item x="6"/>
        <item x="3"/>
        <item x="5"/>
        <item x="11"/>
        <item x="10"/>
        <item x="9"/>
        <item t="default"/>
      </items>
    </pivotField>
    <pivotField name="Transaction Da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Transaction Dayname" compact="0" outline="0" multipleItemSelectionAllowed="1" showAll="0">
      <items>
        <item x="0"/>
        <item x="1"/>
        <item x="2"/>
        <item x="3"/>
        <item x="4"/>
        <item x="5"/>
        <item x="6"/>
        <item t="default"/>
      </items>
    </pivotField>
    <pivotField name="Quantity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t="default"/>
      </items>
    </pivotField>
    <pivotField name="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t="default"/>
      </items>
    </pivotField>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t="default"/>
      </items>
    </pivotField>
    <pivotField name="Unit Cost Of Sales"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Cost Of 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Daily Gross 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Daily % Gross Profi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t="default"/>
      </items>
    </pivotField>
    <pivotField name="Daily Gross Profit Per 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Daily % Gross Profit Per 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t="default"/>
      </items>
    </pivotField>
    <pivotField name="Promotion Status" compact="0" outline="0" multipleItemSelectionAllowed="1" showAll="0">
      <items>
        <item x="0"/>
        <item x="1"/>
        <item t="default"/>
      </items>
    </pivotField>
    <pivotField name="Promotion Period" compact="0" outline="0" multipleItemSelectionAllowed="1" showAll="0">
      <items>
        <item x="0"/>
        <item x="1"/>
        <item x="2"/>
        <item x="3"/>
        <item x="4"/>
        <item t="default"/>
      </items>
    </pivotField>
    <pivotField name="Price Elasticity of Demand" compact="0" outline="0" multipleItemSelectionAllowed="1" showAll="0">
      <items>
        <item x="0"/>
        <item x="1"/>
        <item x="2"/>
        <item x="3"/>
        <item x="4"/>
        <item t="default"/>
      </items>
    </pivotField>
  </pivotFields>
  <rowFields>
    <field x="1"/>
    <field x="2"/>
  </rowFields>
  <dataFields>
    <dataField name="SUM of Daily % Gross Profit" fld="11" baseField="0"/>
  </dataFields>
</pivotTableDefinition>
</file>

<file path=xl/pivotTables/pivotTable5.xml><?xml version="1.0" encoding="utf-8"?>
<pivotTableDefinition xmlns="http://schemas.openxmlformats.org/spreadsheetml/2006/main" name="Product Performance By Time 5" cacheId="0" dataCaption="" compact="0" compactData="0">
  <location ref="A1103:B1135" firstHeaderRow="0" firstDataRow="1" firstDataCol="0"/>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Transaction Year" compact="0" outline="0" multipleItemSelectionAllowed="1" showAll="0">
      <items>
        <item x="0"/>
        <item x="1"/>
        <item x="2"/>
        <item x="3"/>
        <item t="default"/>
      </items>
    </pivotField>
    <pivotField name="Transaction Month" compact="0" outline="0" multipleItemSelectionAllowed="1" showAll="0">
      <items>
        <item x="0"/>
        <item x="1"/>
        <item x="2"/>
        <item x="3"/>
        <item x="4"/>
        <item x="5"/>
        <item x="6"/>
        <item x="7"/>
        <item x="8"/>
        <item x="9"/>
        <item x="10"/>
        <item x="11"/>
        <item t="default"/>
      </items>
    </pivotField>
    <pivotField name="Transaction Day" axis="axisRow" compact="0" outline="0" multipleItemSelectionAllowed="1" showAll="0" sortType="ascending">
      <items>
        <item x="2"/>
        <item x="3"/>
        <item x="4"/>
        <item x="5"/>
        <item x="6"/>
        <item x="7"/>
        <item x="8"/>
        <item x="9"/>
        <item x="10"/>
        <item x="11"/>
        <item x="12"/>
        <item x="13"/>
        <item x="14"/>
        <item x="15"/>
        <item x="16"/>
        <item x="17"/>
        <item x="18"/>
        <item x="19"/>
        <item x="20"/>
        <item x="21"/>
        <item x="22"/>
        <item x="23"/>
        <item x="24"/>
        <item x="25"/>
        <item x="26"/>
        <item x="27"/>
        <item x="28"/>
        <item x="29"/>
        <item x="30"/>
        <item x="0"/>
        <item x="1"/>
        <item t="default"/>
      </items>
    </pivotField>
    <pivotField name="Transaction Dayname" compact="0" outline="0" multipleItemSelectionAllowed="1" showAll="0">
      <items>
        <item x="0"/>
        <item x="1"/>
        <item x="2"/>
        <item x="3"/>
        <item x="4"/>
        <item x="5"/>
        <item x="6"/>
        <item t="default"/>
      </items>
    </pivotField>
    <pivotField name="Quantity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t="default"/>
      </items>
    </pivotField>
    <pivotField name="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t="default"/>
      </items>
    </pivotField>
    <pivotField name="Unit Pric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t="default"/>
      </items>
    </pivotField>
    <pivotField name="Unit Cost Of Sales"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Cost Of 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Daily Gross 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Daily % Gross 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t="default"/>
      </items>
    </pivotField>
    <pivotField name="Daily Gross Profit Per 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Daily % Gross Profit Per 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t="default"/>
      </items>
    </pivotField>
    <pivotField name="Promotion Status" compact="0" outline="0" multipleItemSelectionAllowed="1" showAll="0">
      <items>
        <item x="0"/>
        <item x="1"/>
        <item t="default"/>
      </items>
    </pivotField>
    <pivotField name="Promotion Period" compact="0" outline="0" multipleItemSelectionAllowed="1" showAll="0">
      <items>
        <item x="0"/>
        <item x="1"/>
        <item x="2"/>
        <item x="3"/>
        <item x="4"/>
        <item t="default"/>
      </items>
    </pivotField>
    <pivotField name="Price Elasticity of Demand" compact="0" outline="0" multipleItemSelectionAllowed="1" showAll="0">
      <items>
        <item x="0"/>
        <item x="1"/>
        <item x="2"/>
        <item x="3"/>
        <item x="4"/>
        <item t="default"/>
      </items>
    </pivotField>
  </pivotFields>
  <rowFields>
    <field x="3"/>
  </rowFields>
  <dataFields>
    <dataField name="AVERAGE of Unit Price" fld="7" subtotal="average" baseField="0"/>
  </dataFields>
</pivotTableDefinition>
</file>

<file path=xl/pivotTables/pivotTable6.xml><?xml version="1.0" encoding="utf-8"?>
<pivotTableDefinition xmlns="http://schemas.openxmlformats.org/spreadsheetml/2006/main" name="Promotion Period Product Perfor" cacheId="0" dataCaption="" compact="0" compactData="0">
  <location ref="A3:D9" firstHeaderRow="0" firstDataRow="2" firstDataCol="0"/>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Transaction Year" compact="0" outline="0" multipleItemSelectionAllowed="1" showAll="0">
      <items>
        <item x="0"/>
        <item x="1"/>
        <item x="2"/>
        <item x="3"/>
        <item t="default"/>
      </items>
    </pivotField>
    <pivotField name="Transaction Month" compact="0" outline="0" multipleItemSelectionAllowed="1" showAll="0">
      <items>
        <item x="0"/>
        <item x="1"/>
        <item x="2"/>
        <item x="3"/>
        <item x="4"/>
        <item x="5"/>
        <item x="6"/>
        <item x="7"/>
        <item x="8"/>
        <item x="9"/>
        <item x="10"/>
        <item x="11"/>
        <item t="default"/>
      </items>
    </pivotField>
    <pivotField name="Transaction Da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Transaction Dayname" compact="0" outline="0" multipleItemSelectionAllowed="1" showAll="0">
      <items>
        <item x="0"/>
        <item x="1"/>
        <item x="2"/>
        <item x="3"/>
        <item x="4"/>
        <item x="5"/>
        <item x="6"/>
        <item t="default"/>
      </items>
    </pivotField>
    <pivotField name="Quantity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t="default"/>
      </items>
    </pivotField>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t="default"/>
      </items>
    </pivotField>
    <pivotField name="Unit Cost Of Sales"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Cost Of 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Daily Gross Profi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Daily % Gross 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t="default"/>
      </items>
    </pivotField>
    <pivotField name="Daily Gross Profit Per 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Daily % Gross Profit Per 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t="default"/>
      </items>
    </pivotField>
    <pivotField name="Promotion Status" compact="0" outline="0" multipleItemSelectionAllowed="1" showAll="0">
      <items>
        <item x="0"/>
        <item x="1"/>
        <item t="default"/>
      </items>
    </pivotField>
    <pivotField name="Promotion Period" axis="axisRow" compact="0" outline="0" multipleItemSelectionAllowed="1" showAll="0" sortType="ascending">
      <items>
        <item x="1"/>
        <item x="0"/>
        <item x="2"/>
        <item x="3"/>
        <item x="4"/>
        <item t="default"/>
      </items>
    </pivotField>
    <pivotField name="Price Elasticity of Demand" compact="0" outline="0" multipleItemSelectionAllowed="1" showAll="0">
      <items>
        <item x="0"/>
        <item x="1"/>
        <item x="2"/>
        <item x="3"/>
        <item x="4"/>
        <item t="default"/>
      </items>
    </pivotField>
  </pivotFields>
  <rowFields>
    <field x="15"/>
  </rowFields>
  <colFields>
    <field x="-2"/>
  </colFields>
  <dataFields>
    <dataField name="AVERAGE of Daily Gross Profit" fld="10" subtotal="average" baseField="0"/>
    <dataField name="AVERAGE of Cost Of Sales" fld="9" subtotal="average" baseField="0"/>
    <dataField name="AVERAGE of Sales" fld="6" subtotal="average" baseField="0"/>
  </dataFields>
</pivotTableDefinition>
</file>

<file path=xl/pivotTables/pivotTable7.xml><?xml version="1.0" encoding="utf-8"?>
<pivotTableDefinition xmlns="http://schemas.openxmlformats.org/spreadsheetml/2006/main" name="Promotion Period Product Perfor 2" cacheId="0" dataCaption="" rowGrandTotals="0" compact="0" compactData="0">
  <location ref="A18:B23" firstHeaderRow="0" firstDataRow="1" firstDataCol="0"/>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Transaction Year" compact="0" outline="0" multipleItemSelectionAllowed="1" showAll="0">
      <items>
        <item x="0"/>
        <item x="1"/>
        <item x="2"/>
        <item x="3"/>
        <item t="default"/>
      </items>
    </pivotField>
    <pivotField name="Transaction Month" compact="0" outline="0" multipleItemSelectionAllowed="1" showAll="0">
      <items>
        <item x="0"/>
        <item x="1"/>
        <item x="2"/>
        <item x="3"/>
        <item x="4"/>
        <item x="5"/>
        <item x="6"/>
        <item x="7"/>
        <item x="8"/>
        <item x="9"/>
        <item x="10"/>
        <item x="11"/>
        <item t="default"/>
      </items>
    </pivotField>
    <pivotField name="Transaction Da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Transaction Dayname" compact="0" outline="0" multipleItemSelectionAllowed="1" showAll="0">
      <items>
        <item x="0"/>
        <item x="1"/>
        <item x="2"/>
        <item x="3"/>
        <item x="4"/>
        <item x="5"/>
        <item x="6"/>
        <item t="default"/>
      </items>
    </pivotField>
    <pivotField name="Quantity Sol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t="default"/>
      </items>
    </pivotField>
    <pivotField name="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t="default"/>
      </items>
    </pivotField>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t="default"/>
      </items>
    </pivotField>
    <pivotField name="Unit Cost Of Sales"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Cost Of 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Daily Gross 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Daily % Gross 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t="default"/>
      </items>
    </pivotField>
    <pivotField name="Daily Gross Profit Per 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Daily % Gross Profit Per 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t="default"/>
      </items>
    </pivotField>
    <pivotField name="Promotion Status" compact="0" outline="0" multipleItemSelectionAllowed="1" showAll="0">
      <items>
        <item x="0"/>
        <item x="1"/>
        <item t="default"/>
      </items>
    </pivotField>
    <pivotField name="Promotion Period" axis="axisRow" compact="0" outline="0" multipleItemSelectionAllowed="1" showAll="0" sortType="ascending">
      <items>
        <item x="1"/>
        <item x="0"/>
        <item x="2"/>
        <item x="3"/>
        <item x="4"/>
        <item t="default"/>
      </items>
    </pivotField>
    <pivotField name="Price Elasticity of Demand" compact="0" outline="0" multipleItemSelectionAllowed="1" showAll="0">
      <items>
        <item x="0"/>
        <item x="1"/>
        <item x="2"/>
        <item x="3"/>
        <item x="4"/>
        <item t="default"/>
      </items>
    </pivotField>
  </pivotFields>
  <rowFields>
    <field x="15"/>
  </rowFields>
  <dataFields>
    <dataField name="SUM of Quantity Sold" fld="5" baseField="0"/>
  </dataFields>
</pivotTableDefinition>
</file>

<file path=xl/pivotTables/pivotTable8.xml><?xml version="1.0" encoding="utf-8"?>
<pivotTableDefinition xmlns="http://schemas.openxmlformats.org/spreadsheetml/2006/main" name="Promotion Period Product Perfor 3" cacheId="0" dataCaption="" compact="0" compactData="0">
  <location ref="A35:C41" firstHeaderRow="0" firstDataRow="2" firstDataCol="0"/>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Transaction Year" compact="0" outline="0" multipleItemSelectionAllowed="1" showAll="0">
      <items>
        <item x="0"/>
        <item x="1"/>
        <item x="2"/>
        <item x="3"/>
        <item t="default"/>
      </items>
    </pivotField>
    <pivotField name="Transaction Month" compact="0" outline="0" multipleItemSelectionAllowed="1" showAll="0">
      <items>
        <item x="0"/>
        <item x="1"/>
        <item x="2"/>
        <item x="3"/>
        <item x="4"/>
        <item x="5"/>
        <item x="6"/>
        <item x="7"/>
        <item x="8"/>
        <item x="9"/>
        <item x="10"/>
        <item x="11"/>
        <item t="default"/>
      </items>
    </pivotField>
    <pivotField name="Transaction Da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Transaction Dayname" compact="0" outline="0" multipleItemSelectionAllowed="1" showAll="0">
      <items>
        <item x="0"/>
        <item x="1"/>
        <item x="2"/>
        <item x="3"/>
        <item x="4"/>
        <item x="5"/>
        <item x="6"/>
        <item t="default"/>
      </items>
    </pivotField>
    <pivotField name="Quantity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t="default"/>
      </items>
    </pivotField>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t="default"/>
      </items>
    </pivotField>
    <pivotField name="Unit Cost Of Sales"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Cost Of 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Daily Gross 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Daily % Gross 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t="default"/>
      </items>
    </pivotField>
    <pivotField name="Daily Gross Profit Per 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Daily % Gross Profit Per 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t="default"/>
      </items>
    </pivotField>
    <pivotField name="Promotion Status" compact="0" outline="0" multipleItemSelectionAllowed="1" showAll="0">
      <items>
        <item x="0"/>
        <item x="1"/>
        <item t="default"/>
      </items>
    </pivotField>
    <pivotField name="Promotion Period" axis="axisRow" compact="0" outline="0" multipleItemSelectionAllowed="1" showAll="0" sortType="ascending">
      <items>
        <item x="1"/>
        <item x="0"/>
        <item x="2"/>
        <item x="3"/>
        <item x="4"/>
        <item t="default"/>
      </items>
    </pivotField>
    <pivotField name="Price Elasticity of Demand" compact="0" outline="0" multipleItemSelectionAllowed="1" showAll="0">
      <items>
        <item x="0"/>
        <item x="1"/>
        <item x="2"/>
        <item x="3"/>
        <item x="4"/>
        <item t="default"/>
      </items>
    </pivotField>
  </pivotFields>
  <rowFields>
    <field x="15"/>
  </rowFields>
  <colFields>
    <field x="-2"/>
  </colFields>
  <dataFields>
    <dataField name="SUM of Sales" fld="6" baseField="0"/>
    <dataField name="SUM of Cost Of Sales" fld="9" baseField="0"/>
  </dataFields>
</pivotTableDefinition>
</file>

<file path=xl/pivotTables/pivotTable9.xml><?xml version="1.0" encoding="utf-8"?>
<pivotTableDefinition xmlns="http://schemas.openxmlformats.org/spreadsheetml/2006/main" name="Promotion Period Product Perfor 4" cacheId="0" dataCaption="" compact="0" compactData="0">
  <location ref="A49:B54" firstHeaderRow="0" firstDataRow="1" firstDataCol="0"/>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Transaction Year" compact="0" outline="0" multipleItemSelectionAllowed="1" showAll="0">
      <items>
        <item x="0"/>
        <item x="1"/>
        <item x="2"/>
        <item x="3"/>
        <item t="default"/>
      </items>
    </pivotField>
    <pivotField name="Transaction Month" compact="0" outline="0" multipleItemSelectionAllowed="1" showAll="0">
      <items>
        <item x="0"/>
        <item x="1"/>
        <item x="2"/>
        <item x="3"/>
        <item x="4"/>
        <item x="5"/>
        <item x="6"/>
        <item x="7"/>
        <item x="8"/>
        <item x="9"/>
        <item x="10"/>
        <item x="11"/>
        <item t="default"/>
      </items>
    </pivotField>
    <pivotField name="Transaction Da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Transaction Dayname" compact="0" outline="0" multipleItemSelectionAllowed="1" showAll="0">
      <items>
        <item x="0"/>
        <item x="1"/>
        <item x="2"/>
        <item x="3"/>
        <item x="4"/>
        <item x="5"/>
        <item x="6"/>
        <item t="default"/>
      </items>
    </pivotField>
    <pivotField name="Quantity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t="default"/>
      </items>
    </pivotField>
    <pivotField name="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t="default"/>
      </items>
    </pivotField>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t="default"/>
      </items>
    </pivotField>
    <pivotField name="Unit Cost Of Sales"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Cost Of 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Daily Gross 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Daily % Gross 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t="default"/>
      </items>
    </pivotField>
    <pivotField name="Daily Gross Profit Per 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Daily % Gross Profit Per 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t="default"/>
      </items>
    </pivotField>
    <pivotField name="Promotion Status" compact="0" outline="0" multipleItemSelectionAllowed="1" showAll="0">
      <items>
        <item x="0"/>
        <item x="1"/>
        <item t="default"/>
      </items>
    </pivotField>
    <pivotField name="Promotion Period" axis="axisRow" compact="0" outline="0" multipleItemSelectionAllowed="1" showAll="0" sortType="ascending">
      <items>
        <item h="1" x="1"/>
        <item x="0"/>
        <item x="2"/>
        <item x="3"/>
        <item x="4"/>
        <item t="default"/>
      </items>
    </pivotField>
    <pivotField name="Price Elasticity of Demand" dataField="1" compact="0" outline="0" multipleItemSelectionAllowed="1" showAll="0">
      <items>
        <item x="0"/>
        <item x="1"/>
        <item x="2"/>
        <item x="3"/>
        <item x="4"/>
        <item t="default"/>
      </items>
    </pivotField>
  </pivotFields>
  <rowFields>
    <field x="15"/>
  </rowFields>
  <dataFields>
    <dataField name="SUM of Price Elasticity of Demand" fld="16" baseField="0"/>
  </dataFields>
</pivotTableDefinition>
</file>

<file path=xl/pivotTables/pivotTable10.xml><?xml version="1.0" encoding="utf-8"?>
<pivotTableDefinition xmlns="http://schemas.openxmlformats.org/spreadsheetml/2006/main" name="Promotion Period Product Perfor 5" cacheId="0" dataCaption="" compact="0" compactData="0">
  <location ref="A64:B69" firstHeaderRow="0" firstDataRow="1" firstDataCol="0"/>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Transaction Year" compact="0" outline="0" multipleItemSelectionAllowed="1" showAll="0">
      <items>
        <item x="0"/>
        <item x="1"/>
        <item x="2"/>
        <item x="3"/>
        <item t="default"/>
      </items>
    </pivotField>
    <pivotField name="Transaction Month" compact="0" outline="0" multipleItemSelectionAllowed="1" showAll="0">
      <items>
        <item x="0"/>
        <item x="1"/>
        <item x="2"/>
        <item x="3"/>
        <item x="4"/>
        <item x="5"/>
        <item x="6"/>
        <item x="7"/>
        <item x="8"/>
        <item x="9"/>
        <item x="10"/>
        <item x="11"/>
        <item t="default"/>
      </items>
    </pivotField>
    <pivotField name="Transaction Da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Transaction Dayname" compact="0" outline="0" multipleItemSelectionAllowed="1" showAll="0">
      <items>
        <item x="0"/>
        <item x="1"/>
        <item x="2"/>
        <item x="3"/>
        <item x="4"/>
        <item x="5"/>
        <item x="6"/>
        <item t="default"/>
      </items>
    </pivotField>
    <pivotField name="Quantity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t="default"/>
      </items>
    </pivotField>
    <pivotField name="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t="default"/>
      </items>
    </pivotField>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t="default"/>
      </items>
    </pivotField>
    <pivotField name="Unit Cost Of Sales"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Cost Of 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Daily Gross 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Daily % Gross Profi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t="default"/>
      </items>
    </pivotField>
    <pivotField name="Daily Gross Profit Per 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Daily % Gross Profit Per 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t="default"/>
      </items>
    </pivotField>
    <pivotField name="Promotion Status" compact="0" outline="0" multipleItemSelectionAllowed="1" showAll="0">
      <items>
        <item x="0"/>
        <item x="1"/>
        <item t="default"/>
      </items>
    </pivotField>
    <pivotField name="Promotion Period" axis="axisRow" compact="0" outline="0" multipleItemSelectionAllowed="1" showAll="0" sortType="ascending">
      <items>
        <item h="1" x="1"/>
        <item x="0"/>
        <item x="2"/>
        <item x="3"/>
        <item x="4"/>
        <item t="default"/>
      </items>
    </pivotField>
    <pivotField name="Price Elasticity of Demand" compact="0" outline="0" multipleItemSelectionAllowed="1" showAll="0">
      <items>
        <item x="0"/>
        <item x="1"/>
        <item x="2"/>
        <item x="3"/>
        <item x="4"/>
        <item t="default"/>
      </items>
    </pivotField>
  </pivotFields>
  <rowFields>
    <field x="15"/>
  </rowFields>
  <dataFields>
    <dataField name="SUM of Daily % Gross Profit" fld="11" baseField="0"/>
  </dataFields>
</pivotTableDefinition>
</file>

<file path=xl/pivotTables/pivotTable11.xml><?xml version="1.0" encoding="utf-8"?>
<pivotTableDefinition xmlns="http://schemas.openxmlformats.org/spreadsheetml/2006/main" name="Average Price" cacheId="1" dataCaption="" compact="0" compactData="0">
  <location ref="A1:B6" firstHeaderRow="0" firstDataRow="1" firstDataCol="0"/>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Transaction Year" compact="0" outline="0" multipleItemSelectionAllowed="1" showAll="0">
      <items>
        <item x="0"/>
        <item x="1"/>
        <item x="2"/>
        <item x="3"/>
        <item t="default"/>
      </items>
    </pivotField>
    <pivotField name="Transaction Month" compact="0" outline="0" multipleItemSelectionAllowed="1" showAll="0">
      <items>
        <item x="0"/>
        <item x="1"/>
        <item x="2"/>
        <item x="3"/>
        <item x="4"/>
        <item x="5"/>
        <item x="6"/>
        <item x="7"/>
        <item x="8"/>
        <item x="9"/>
        <item x="10"/>
        <item x="11"/>
        <item t="default"/>
      </items>
    </pivotField>
    <pivotField name="Transaction Da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Transaction Dayname" compact="0" outline="0" multipleItemSelectionAllowed="1" showAll="0">
      <items>
        <item x="0"/>
        <item x="1"/>
        <item x="2"/>
        <item x="3"/>
        <item x="4"/>
        <item x="5"/>
        <item x="6"/>
        <item t="default"/>
      </items>
    </pivotField>
    <pivotField name="Quantity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t="default"/>
      </items>
    </pivotField>
    <pivotField name="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t="default"/>
      </items>
    </pivotField>
    <pivotField name="Unit Pric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t="default"/>
      </items>
    </pivotField>
    <pivotField name="Unit Cost Of Sales"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Cost Of 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Daily Gross 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Daily % Gross 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t="default"/>
      </items>
    </pivotField>
    <pivotField name="Daily Gross Profit Per 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Daily % Gross Profit Per 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t="default"/>
      </items>
    </pivotField>
    <pivotField name="Promotion Status" compact="0" outline="0" multipleItemSelectionAllowed="1" showAll="0">
      <items>
        <item x="0"/>
        <item x="1"/>
        <item t="default"/>
      </items>
    </pivotField>
    <pivotField name="Promotion Period" compact="0" outline="0" multipleItemSelectionAllowed="1" showAll="0">
      <items>
        <item x="0"/>
        <item x="1"/>
        <item x="2"/>
        <item x="3"/>
        <item x="4"/>
        <item t="default"/>
      </items>
    </pivotField>
    <pivotField name="Price Elasticity of Demand" compact="0" outline="0" multipleItemSelectionAllowed="1" showAll="0">
      <items>
        <item x="0"/>
        <item x="1"/>
        <item x="2"/>
        <item x="3"/>
        <item x="4"/>
        <item t="default"/>
      </items>
    </pivotField>
    <pivotField name="Previous Gross 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Gross Profit Chan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Gross Profit Indicator" compact="0" outline="0" multipleItemSelectionAllowed="1" showAll="0">
      <items>
        <item x="0"/>
        <item x="1"/>
        <item x="2"/>
        <item t="default"/>
      </items>
    </pivotField>
    <pivotField name="date2" axis="axisRow" compact="0" outline="0" multipleItemSelectionAllowed="1" showAll="0" sortType="ascending">
      <items>
        <item x="0"/>
        <item x="1"/>
        <item x="2"/>
        <item x="3"/>
        <item x="4"/>
        <item x="5"/>
        <item t="default"/>
      </items>
    </pivotField>
  </pivotFields>
  <rowFields>
    <field x="20"/>
  </rowFields>
  <dataFields>
    <dataField name="AVERAGE of Unit Price" fld="7" subtotal="average"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 sourceName="Column2">
  <x14:extLst>
    <ext uri="{2F2917AC-EB37-4324-AD4E-5DD8C200BD13}">
      <x15:tableSlicerCache tableId="1" column="2"/>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6" sourceName="Column16">
  <x14:extLst>
    <ext uri="{2F2917AC-EB37-4324-AD4E-5DD8C200BD13}">
      <x15:tableSlicerCache tableId="1" column="16"/>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0" sourceName="Column20">
  <x14:extLst>
    <ext uri="{2F2917AC-EB37-4324-AD4E-5DD8C200BD13}">
      <x15:tableSlicerCache tableId="1" column="20"/>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lumn2_1" cache="SlicerCache_Table_1_Col_2" caption="Column2" rowHeight="247650"/>
  <x14:slicer name="Column16_2" cache="SlicerCache_Table_1_Col_16" caption="Column16" rowHeight="247650"/>
  <x14:slicer name="Column20_3" cache="SlicerCache_Table_1_Col_20" caption="Column20" rowHeight="247650"/>
</x14:slicers>
</file>

<file path=xl/tables/table1.xml><?xml version="1.0" encoding="utf-8"?>
<table xmlns="http://schemas.openxmlformats.org/spreadsheetml/2006/main" headerRowCount="0" ref="A1:AB1054" displayName="Table_1" name="Table_1" id="1">
  <autoFilter ref="$A$1:$AB$1054"/>
  <tableColumns count="2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s>
  <tableStyleInfo showColumnStripes="0" showFirstColumn="0" showLastColumn="0" showRowStripes="0"/>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1A1A1A"/>
      </a:dk1>
      <a:lt1>
        <a:srgbClr val="EEF1F1"/>
      </a:lt1>
      <a:dk2>
        <a:srgbClr val="1A1A1A"/>
      </a:dk2>
      <a:lt2>
        <a:srgbClr val="EEF1F1"/>
      </a:lt2>
      <a:accent1>
        <a:srgbClr val="1A9988"/>
      </a:accent1>
      <a:accent2>
        <a:srgbClr val="2D729D"/>
      </a:accent2>
      <a:accent3>
        <a:srgbClr val="1F3E78"/>
      </a:accent3>
      <a:accent4>
        <a:srgbClr val="EB5600"/>
      </a:accent4>
      <a:accent5>
        <a:srgbClr val="76A5AF"/>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2"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pivotTable" Target="../pivotTables/pivotTable5.xml"/><Relationship Id="rId6"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pivotTable" Target="../pivotTables/pivotTable7.xml"/><Relationship Id="rId3" Type="http://schemas.openxmlformats.org/officeDocument/2006/relationships/pivotTable" Target="../pivotTables/pivotTable8.xml"/><Relationship Id="rId4" Type="http://schemas.openxmlformats.org/officeDocument/2006/relationships/pivotTable" Target="../pivotTables/pivotTable9.xml"/><Relationship Id="rId5" Type="http://schemas.openxmlformats.org/officeDocument/2006/relationships/pivotTable" Target="../pivotTables/pivotTable10.xml"/><Relationship Id="rId6"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1.xm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75"/>
  <cols>
    <col customWidth="1" min="2" max="2" width="10.33"/>
    <col customWidth="1" min="9" max="9" width="12.33"/>
    <col customWidth="1" min="12" max="12" width="13.67"/>
  </cols>
  <sheetData>
    <row r="1">
      <c r="A1" s="14"/>
      <c r="B1" s="14"/>
      <c r="C1" s="15" t="s">
        <v>96</v>
      </c>
      <c r="M1" s="16"/>
      <c r="N1" s="16"/>
      <c r="O1" s="16"/>
      <c r="P1" s="16"/>
      <c r="Q1" s="16"/>
      <c r="R1" s="16"/>
      <c r="S1" s="16"/>
      <c r="T1" s="16"/>
      <c r="U1" s="16"/>
      <c r="V1" s="16"/>
      <c r="W1" s="16"/>
      <c r="X1" s="16"/>
      <c r="Y1" s="16"/>
      <c r="Z1" s="16"/>
    </row>
    <row r="2">
      <c r="A2" s="16"/>
      <c r="B2" s="16"/>
      <c r="C2" s="16"/>
      <c r="D2" s="16"/>
      <c r="E2" s="16"/>
      <c r="F2" s="16"/>
      <c r="G2" s="16"/>
      <c r="H2" s="16"/>
      <c r="I2" s="16"/>
      <c r="J2" s="16"/>
      <c r="K2" s="16"/>
      <c r="L2" s="16"/>
      <c r="M2" s="16"/>
      <c r="N2" s="16"/>
      <c r="O2" s="16"/>
      <c r="P2" s="16"/>
      <c r="Q2" s="16"/>
      <c r="R2" s="16"/>
      <c r="S2" s="16"/>
      <c r="T2" s="16"/>
      <c r="U2" s="16"/>
      <c r="V2" s="16"/>
      <c r="W2" s="16"/>
      <c r="X2" s="16"/>
      <c r="Y2" s="16"/>
      <c r="Z2" s="16"/>
    </row>
    <row r="3">
      <c r="A3" s="16"/>
      <c r="B3" s="16"/>
      <c r="C3" s="16"/>
      <c r="D3" s="16"/>
      <c r="E3" s="16"/>
      <c r="F3" s="16"/>
      <c r="G3" s="16"/>
      <c r="H3" s="16"/>
      <c r="I3" s="16"/>
      <c r="J3" s="16"/>
      <c r="K3" s="16"/>
      <c r="L3" s="16"/>
      <c r="M3" s="16"/>
      <c r="N3" s="16"/>
      <c r="O3" s="16"/>
      <c r="P3" s="16"/>
      <c r="Q3" s="16"/>
      <c r="R3" s="16"/>
      <c r="S3" s="16"/>
      <c r="T3" s="16"/>
      <c r="U3" s="16"/>
      <c r="V3" s="16"/>
      <c r="W3" s="16"/>
      <c r="X3" s="16"/>
      <c r="Y3" s="16"/>
      <c r="Z3" s="16"/>
    </row>
    <row r="4">
      <c r="A4" s="16"/>
      <c r="B4" s="16"/>
      <c r="C4" s="16"/>
      <c r="D4" s="16"/>
      <c r="E4" s="16"/>
      <c r="F4" s="16"/>
      <c r="G4" s="16"/>
      <c r="H4" s="16"/>
      <c r="I4" s="16"/>
      <c r="J4" s="16"/>
      <c r="K4" s="16"/>
      <c r="L4" s="16"/>
      <c r="M4" s="16"/>
      <c r="N4" s="16"/>
      <c r="O4" s="16"/>
      <c r="P4" s="16"/>
      <c r="Q4" s="16"/>
      <c r="R4" s="16"/>
      <c r="S4" s="16"/>
      <c r="T4" s="16"/>
      <c r="U4" s="16"/>
      <c r="V4" s="16"/>
      <c r="W4" s="16"/>
      <c r="X4" s="16"/>
      <c r="Y4" s="16"/>
      <c r="Z4" s="16"/>
    </row>
    <row r="5">
      <c r="A5" s="16"/>
      <c r="B5" s="16"/>
      <c r="C5" s="16"/>
      <c r="D5" s="16"/>
      <c r="E5" s="16"/>
      <c r="F5" s="16"/>
      <c r="G5" s="16"/>
      <c r="H5" s="16"/>
      <c r="I5" s="16"/>
      <c r="J5" s="16"/>
      <c r="K5" s="16"/>
      <c r="L5" s="16"/>
      <c r="M5" s="16"/>
      <c r="N5" s="16"/>
      <c r="O5" s="16"/>
      <c r="P5" s="16"/>
      <c r="Q5" s="16"/>
      <c r="R5" s="16"/>
      <c r="S5" s="16"/>
      <c r="T5" s="16"/>
      <c r="U5" s="16"/>
      <c r="V5" s="16"/>
      <c r="W5" s="16"/>
      <c r="X5" s="16"/>
      <c r="Y5" s="16"/>
      <c r="Z5" s="16"/>
    </row>
    <row r="6">
      <c r="A6" s="16"/>
      <c r="B6" s="16"/>
      <c r="C6" s="16"/>
      <c r="D6" s="16"/>
      <c r="E6" s="16"/>
      <c r="F6" s="16"/>
      <c r="G6" s="16"/>
      <c r="H6" s="16"/>
      <c r="I6" s="16"/>
      <c r="J6" s="16"/>
      <c r="K6" s="16"/>
      <c r="L6" s="16"/>
      <c r="M6" s="16"/>
      <c r="N6" s="16"/>
      <c r="O6" s="16"/>
      <c r="P6" s="16"/>
      <c r="Q6" s="16"/>
      <c r="R6" s="16"/>
      <c r="S6" s="16"/>
      <c r="T6" s="16"/>
      <c r="U6" s="16"/>
      <c r="V6" s="16"/>
      <c r="W6" s="16"/>
      <c r="X6" s="16"/>
      <c r="Y6" s="16"/>
      <c r="Z6" s="16"/>
    </row>
    <row r="7">
      <c r="A7" s="16"/>
      <c r="B7" s="16"/>
      <c r="C7" s="16"/>
      <c r="D7" s="16"/>
      <c r="E7" s="16"/>
      <c r="F7" s="16"/>
      <c r="G7" s="16"/>
      <c r="H7" s="16"/>
      <c r="I7" s="16"/>
      <c r="J7" s="16"/>
      <c r="K7" s="16"/>
      <c r="L7" s="16"/>
      <c r="M7" s="16"/>
      <c r="N7" s="16"/>
      <c r="O7" s="16"/>
      <c r="P7" s="16"/>
      <c r="Q7" s="16"/>
      <c r="R7" s="16"/>
      <c r="S7" s="16"/>
      <c r="T7" s="16"/>
      <c r="U7" s="16"/>
      <c r="V7" s="16"/>
      <c r="W7" s="16"/>
      <c r="X7" s="16"/>
      <c r="Y7" s="16"/>
      <c r="Z7" s="16"/>
    </row>
    <row r="8">
      <c r="A8" s="16"/>
      <c r="B8" s="16"/>
      <c r="C8" s="16"/>
      <c r="D8" s="16"/>
      <c r="E8" s="16"/>
      <c r="F8" s="16"/>
      <c r="G8" s="16"/>
      <c r="H8" s="16"/>
      <c r="I8" s="16"/>
      <c r="J8" s="16"/>
      <c r="K8" s="16"/>
      <c r="L8" s="16"/>
      <c r="M8" s="16"/>
      <c r="N8" s="16"/>
      <c r="O8" s="16"/>
      <c r="P8" s="16"/>
      <c r="Q8" s="16"/>
      <c r="R8" s="16"/>
      <c r="S8" s="16"/>
      <c r="T8" s="16"/>
      <c r="U8" s="16"/>
      <c r="V8" s="16"/>
      <c r="W8" s="16"/>
      <c r="X8" s="16"/>
      <c r="Y8" s="16"/>
      <c r="Z8" s="16"/>
    </row>
    <row r="9">
      <c r="A9" s="16"/>
      <c r="B9" s="16"/>
      <c r="C9" s="16"/>
      <c r="D9" s="16"/>
      <c r="E9" s="16"/>
      <c r="F9" s="16"/>
      <c r="G9" s="16"/>
      <c r="H9" s="16"/>
      <c r="I9" s="16"/>
      <c r="J9" s="16"/>
      <c r="K9" s="16"/>
      <c r="L9" s="16"/>
      <c r="M9" s="16"/>
      <c r="N9" s="16"/>
      <c r="O9" s="16"/>
      <c r="P9" s="16"/>
      <c r="Q9" s="16"/>
      <c r="R9" s="16"/>
      <c r="S9" s="16"/>
      <c r="T9" s="16"/>
      <c r="U9" s="16"/>
      <c r="V9" s="16"/>
      <c r="W9" s="16"/>
      <c r="X9" s="16"/>
      <c r="Y9" s="16"/>
      <c r="Z9" s="16"/>
    </row>
    <row r="10">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row>
    <row r="11">
      <c r="A11" s="16"/>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row>
    <row r="13">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row>
    <row r="14">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row>
    <row r="16">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row>
    <row r="17">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row>
    <row r="18">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row>
    <row r="21">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row>
    <row r="22">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row>
    <row r="23">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c r="A30" s="16"/>
      <c r="B30" s="16"/>
      <c r="C30" s="16"/>
      <c r="D30" s="16"/>
      <c r="E30" s="16"/>
      <c r="F30" s="16"/>
      <c r="G30" s="16"/>
      <c r="H30" s="16"/>
      <c r="I30" s="16"/>
      <c r="J30" s="16"/>
      <c r="K30" s="16"/>
      <c r="L30" s="16"/>
      <c r="M30" s="17" t="s">
        <v>97</v>
      </c>
      <c r="N30" s="16"/>
      <c r="O30" s="16"/>
      <c r="P30" s="16"/>
      <c r="Q30" s="16"/>
      <c r="R30" s="16"/>
      <c r="S30" s="16"/>
      <c r="T30" s="16"/>
      <c r="U30" s="16"/>
      <c r="V30" s="16"/>
      <c r="W30" s="16"/>
      <c r="X30" s="16"/>
      <c r="Y30" s="16"/>
      <c r="Z30" s="16"/>
    </row>
    <row r="3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1">
    <mergeCell ref="C1:L1"/>
  </mergeCells>
  <drawing r:id="rId1"/>
  <extLst>
    <ext uri="{3A4CF648-6AED-40f4-86FF-DC5316D8AED3}">
      <x14:slicerList>
        <x14:slicer r:id="rId2"/>
      </x14:slicerList>
    </ext>
  </extLst>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1" width="18.89"/>
    <col customWidth="1" min="2" max="2" width="12.67"/>
    <col customWidth="1" min="3" max="3" width="14.44"/>
    <col customWidth="1" min="4" max="4" width="12.33"/>
    <col customWidth="1" min="5" max="5" width="16.33"/>
    <col customWidth="1" min="9" max="9" width="15.22"/>
    <col customWidth="1" min="11" max="11" width="12.44"/>
    <col customWidth="1" min="12" max="12" width="14.11"/>
    <col customWidth="1" min="13" max="14" width="19.89"/>
    <col customWidth="1" min="16" max="16" width="13.44"/>
    <col customWidth="1" min="17" max="17" width="19.67"/>
    <col customWidth="1" min="18" max="18" width="16.44"/>
    <col customWidth="1" min="19" max="19" width="15.11"/>
    <col customWidth="1" min="20" max="20" width="16.11"/>
  </cols>
  <sheetData>
    <row r="1">
      <c r="A1" s="1" t="s">
        <v>0</v>
      </c>
      <c r="B1" s="2" t="s">
        <v>1</v>
      </c>
      <c r="C1" s="2" t="s">
        <v>2</v>
      </c>
      <c r="D1" s="2" t="s">
        <v>3</v>
      </c>
      <c r="E1" s="2" t="s">
        <v>4</v>
      </c>
      <c r="F1" s="1" t="s">
        <v>5</v>
      </c>
      <c r="G1" s="1" t="s">
        <v>6</v>
      </c>
      <c r="H1" s="1" t="s">
        <v>7</v>
      </c>
      <c r="I1" s="3" t="s">
        <v>8</v>
      </c>
      <c r="J1" s="1" t="s">
        <v>9</v>
      </c>
      <c r="K1" s="1" t="s">
        <v>10</v>
      </c>
      <c r="L1" s="1" t="s">
        <v>11</v>
      </c>
      <c r="M1" s="2" t="s">
        <v>12</v>
      </c>
      <c r="N1" s="1" t="s">
        <v>13</v>
      </c>
      <c r="O1" s="1" t="s">
        <v>14</v>
      </c>
      <c r="P1" s="1" t="s">
        <v>15</v>
      </c>
      <c r="Q1" s="1" t="s">
        <v>16</v>
      </c>
      <c r="R1" s="2" t="s">
        <v>17</v>
      </c>
      <c r="S1" s="2" t="s">
        <v>18</v>
      </c>
      <c r="T1" s="2" t="s">
        <v>19</v>
      </c>
      <c r="U1" s="4"/>
      <c r="V1" s="4"/>
      <c r="W1" s="4"/>
      <c r="X1" s="4"/>
      <c r="Y1" s="4"/>
      <c r="Z1" s="4"/>
      <c r="AA1" s="4"/>
      <c r="AB1" s="4"/>
    </row>
    <row r="2">
      <c r="A2" s="5">
        <v>41638.0</v>
      </c>
      <c r="B2" s="6">
        <v>2013.0</v>
      </c>
      <c r="C2" s="7" t="s">
        <v>20</v>
      </c>
      <c r="D2" s="7" t="s">
        <v>21</v>
      </c>
      <c r="E2" s="7" t="s">
        <v>22</v>
      </c>
      <c r="F2" s="6">
        <v>6827.0</v>
      </c>
      <c r="G2" s="6">
        <v>223937.97</v>
      </c>
      <c r="H2" s="6">
        <v>32.8</v>
      </c>
      <c r="I2" s="8">
        <f t="array" ref="I2:I1054">IF(ISBLANK(F2:F1054), "", IFERROR(J2:J1054/F2:F1054, ""))</f>
        <v>33.70142376</v>
      </c>
      <c r="J2" s="6">
        <v>230079.62</v>
      </c>
      <c r="K2" s="6">
        <v>-6141.65</v>
      </c>
      <c r="L2" s="6">
        <v>-2.74</v>
      </c>
      <c r="M2" s="6">
        <f t="shared" ref="M2:M1054" si="1">IFERROR(K2/F2, "")</f>
        <v>-0.8996118354</v>
      </c>
      <c r="N2" s="6">
        <v>-2.74</v>
      </c>
      <c r="O2" s="7" t="s">
        <v>23</v>
      </c>
      <c r="P2" s="7" t="s">
        <v>24</v>
      </c>
      <c r="Q2" s="6">
        <v>-4.12</v>
      </c>
      <c r="R2" s="9" t="s">
        <v>25</v>
      </c>
      <c r="S2" s="9" t="s">
        <v>25</v>
      </c>
      <c r="T2" s="9" t="s">
        <v>26</v>
      </c>
      <c r="U2" s="9"/>
      <c r="V2" s="9"/>
      <c r="W2" s="9"/>
      <c r="X2" s="9"/>
      <c r="Y2" s="9"/>
      <c r="Z2" s="9"/>
      <c r="AA2" s="9"/>
      <c r="AB2" s="9"/>
    </row>
    <row r="3">
      <c r="A3" s="5">
        <v>41639.0</v>
      </c>
      <c r="B3" s="6">
        <v>2013.0</v>
      </c>
      <c r="C3" s="7" t="s">
        <v>20</v>
      </c>
      <c r="D3" s="7" t="s">
        <v>27</v>
      </c>
      <c r="E3" s="7" t="s">
        <v>28</v>
      </c>
      <c r="F3" s="6">
        <v>9268.0</v>
      </c>
      <c r="G3" s="6">
        <v>300345.48</v>
      </c>
      <c r="H3" s="6">
        <v>32.41</v>
      </c>
      <c r="I3" s="8">
        <v>33.12323262839879</v>
      </c>
      <c r="J3" s="6">
        <v>306986.12</v>
      </c>
      <c r="K3" s="6">
        <v>-6640.64</v>
      </c>
      <c r="L3" s="6">
        <v>-2.21</v>
      </c>
      <c r="M3" s="6">
        <f t="shared" si="1"/>
        <v>-0.716512732</v>
      </c>
      <c r="N3" s="6">
        <v>-2.21</v>
      </c>
      <c r="O3" s="7" t="s">
        <v>23</v>
      </c>
      <c r="P3" s="7" t="s">
        <v>24</v>
      </c>
      <c r="Q3" s="6">
        <v>-4.12</v>
      </c>
      <c r="R3" s="10">
        <v>-6141.65</v>
      </c>
      <c r="S3" s="10">
        <v>-498.98</v>
      </c>
      <c r="T3" s="9" t="s">
        <v>29</v>
      </c>
      <c r="U3" s="9"/>
      <c r="V3" s="9"/>
      <c r="W3" s="9"/>
      <c r="X3" s="9"/>
      <c r="Y3" s="9"/>
      <c r="Z3" s="9"/>
      <c r="AA3" s="9"/>
      <c r="AB3" s="9"/>
    </row>
    <row r="4">
      <c r="A4" s="5">
        <v>41640.0</v>
      </c>
      <c r="B4" s="6">
        <v>2014.0</v>
      </c>
      <c r="C4" s="7" t="s">
        <v>30</v>
      </c>
      <c r="D4" s="7" t="s">
        <v>31</v>
      </c>
      <c r="E4" s="7" t="s">
        <v>32</v>
      </c>
      <c r="F4" s="6">
        <v>2678.0</v>
      </c>
      <c r="G4" s="6">
        <v>86782.47</v>
      </c>
      <c r="H4" s="6">
        <v>32.41</v>
      </c>
      <c r="I4" s="8">
        <v>32.85523525018671</v>
      </c>
      <c r="J4" s="6">
        <v>87986.32</v>
      </c>
      <c r="K4" s="6">
        <v>-1203.85</v>
      </c>
      <c r="L4" s="6">
        <v>-1.39</v>
      </c>
      <c r="M4" s="6">
        <f t="shared" si="1"/>
        <v>-0.4495332338</v>
      </c>
      <c r="N4" s="6">
        <v>-1.39</v>
      </c>
      <c r="O4" s="7" t="s">
        <v>23</v>
      </c>
      <c r="P4" s="7" t="s">
        <v>24</v>
      </c>
      <c r="Q4" s="6">
        <v>-4.12</v>
      </c>
      <c r="R4" s="10">
        <v>-6640.64</v>
      </c>
      <c r="S4" s="10">
        <v>5436.79</v>
      </c>
      <c r="T4" s="9" t="s">
        <v>33</v>
      </c>
      <c r="U4" s="9"/>
      <c r="V4" s="9"/>
      <c r="W4" s="9"/>
      <c r="X4" s="9"/>
      <c r="Y4" s="9"/>
      <c r="Z4" s="9"/>
      <c r="AA4" s="9"/>
      <c r="AB4" s="9"/>
    </row>
    <row r="5">
      <c r="A5" s="5">
        <v>41641.0</v>
      </c>
      <c r="B5" s="6">
        <v>2014.0</v>
      </c>
      <c r="C5" s="7" t="s">
        <v>30</v>
      </c>
      <c r="D5" s="7" t="s">
        <v>34</v>
      </c>
      <c r="E5" s="7" t="s">
        <v>35</v>
      </c>
      <c r="F5" s="6">
        <v>6175.0</v>
      </c>
      <c r="G5" s="6">
        <v>200173.12</v>
      </c>
      <c r="H5" s="6">
        <v>32.42</v>
      </c>
      <c r="I5" s="8">
        <v>32.855251821862346</v>
      </c>
      <c r="J5" s="6">
        <v>202881.18</v>
      </c>
      <c r="K5" s="6">
        <v>-2708.06</v>
      </c>
      <c r="L5" s="6">
        <v>-1.35</v>
      </c>
      <c r="M5" s="6">
        <f t="shared" si="1"/>
        <v>-0.4385522267</v>
      </c>
      <c r="N5" s="6">
        <v>-1.35</v>
      </c>
      <c r="O5" s="7" t="s">
        <v>23</v>
      </c>
      <c r="P5" s="7" t="s">
        <v>24</v>
      </c>
      <c r="Q5" s="6">
        <v>-4.12</v>
      </c>
      <c r="R5" s="10">
        <v>-1203.85</v>
      </c>
      <c r="S5" s="10">
        <v>-1504.21</v>
      </c>
      <c r="T5" s="9" t="s">
        <v>29</v>
      </c>
      <c r="U5" s="9"/>
      <c r="V5" s="9"/>
      <c r="W5" s="9"/>
      <c r="X5" s="9"/>
      <c r="Y5" s="9"/>
      <c r="Z5" s="9"/>
      <c r="AA5" s="9"/>
      <c r="AB5" s="9"/>
    </row>
    <row r="6">
      <c r="A6" s="5">
        <v>41642.0</v>
      </c>
      <c r="B6" s="6">
        <v>2014.0</v>
      </c>
      <c r="C6" s="7" t="s">
        <v>30</v>
      </c>
      <c r="D6" s="7" t="s">
        <v>36</v>
      </c>
      <c r="E6" s="7" t="s">
        <v>37</v>
      </c>
      <c r="F6" s="6">
        <v>10084.0</v>
      </c>
      <c r="G6" s="6">
        <v>326906.07</v>
      </c>
      <c r="H6" s="6">
        <v>32.42</v>
      </c>
      <c r="I6" s="8">
        <v>33.10256743355811</v>
      </c>
      <c r="J6" s="6">
        <v>333806.29</v>
      </c>
      <c r="K6" s="6">
        <v>-6900.22</v>
      </c>
      <c r="L6" s="6">
        <v>-2.11</v>
      </c>
      <c r="M6" s="6">
        <f t="shared" si="1"/>
        <v>-0.6842740976</v>
      </c>
      <c r="N6" s="6">
        <v>-2.11</v>
      </c>
      <c r="O6" s="7" t="s">
        <v>23</v>
      </c>
      <c r="P6" s="7" t="s">
        <v>24</v>
      </c>
      <c r="Q6" s="6">
        <v>-4.12</v>
      </c>
      <c r="R6" s="10">
        <v>-2708.06</v>
      </c>
      <c r="S6" s="10">
        <v>-4192.16</v>
      </c>
      <c r="T6" s="9" t="s">
        <v>29</v>
      </c>
      <c r="U6" s="9"/>
      <c r="V6" s="9"/>
      <c r="W6" s="9"/>
      <c r="X6" s="9"/>
      <c r="Y6" s="9"/>
      <c r="Z6" s="9"/>
      <c r="AA6" s="9"/>
      <c r="AB6" s="9"/>
    </row>
    <row r="7">
      <c r="A7" s="5">
        <v>41643.0</v>
      </c>
      <c r="B7" s="6">
        <v>2014.0</v>
      </c>
      <c r="C7" s="7" t="s">
        <v>30</v>
      </c>
      <c r="D7" s="7" t="s">
        <v>38</v>
      </c>
      <c r="E7" s="7" t="s">
        <v>39</v>
      </c>
      <c r="F7" s="6">
        <v>9470.0</v>
      </c>
      <c r="G7" s="6">
        <v>307043.94</v>
      </c>
      <c r="H7" s="6">
        <v>32.42</v>
      </c>
      <c r="I7" s="8">
        <v>33.1206282998944</v>
      </c>
      <c r="J7" s="6">
        <v>313652.35</v>
      </c>
      <c r="K7" s="6">
        <v>-6608.41</v>
      </c>
      <c r="L7" s="6">
        <v>-2.15</v>
      </c>
      <c r="M7" s="6">
        <f t="shared" si="1"/>
        <v>-0.6978257656</v>
      </c>
      <c r="N7" s="6">
        <v>-2.15</v>
      </c>
      <c r="O7" s="7" t="s">
        <v>23</v>
      </c>
      <c r="P7" s="7" t="s">
        <v>24</v>
      </c>
      <c r="Q7" s="6">
        <v>-4.12</v>
      </c>
      <c r="R7" s="10">
        <v>-6900.22</v>
      </c>
      <c r="S7" s="10">
        <v>291.8</v>
      </c>
      <c r="T7" s="9" t="s">
        <v>33</v>
      </c>
      <c r="U7" s="9"/>
      <c r="V7" s="9"/>
      <c r="W7" s="9"/>
      <c r="X7" s="9"/>
      <c r="Y7" s="9"/>
      <c r="Z7" s="9"/>
      <c r="AA7" s="9"/>
      <c r="AB7" s="9"/>
    </row>
    <row r="8">
      <c r="A8" s="5">
        <v>41644.0</v>
      </c>
      <c r="B8" s="6">
        <v>2014.0</v>
      </c>
      <c r="C8" s="7" t="s">
        <v>30</v>
      </c>
      <c r="D8" s="7" t="s">
        <v>40</v>
      </c>
      <c r="E8" s="7" t="s">
        <v>41</v>
      </c>
      <c r="F8" s="6">
        <v>5524.0</v>
      </c>
      <c r="G8" s="6">
        <v>179188.88</v>
      </c>
      <c r="H8" s="6">
        <v>32.44</v>
      </c>
      <c r="I8" s="8">
        <v>33.14324402606807</v>
      </c>
      <c r="J8" s="6">
        <v>183083.28</v>
      </c>
      <c r="K8" s="6">
        <v>-3894.4</v>
      </c>
      <c r="L8" s="6">
        <v>-2.17</v>
      </c>
      <c r="M8" s="6">
        <f t="shared" si="1"/>
        <v>-0.7049963794</v>
      </c>
      <c r="N8" s="6">
        <v>-2.17</v>
      </c>
      <c r="O8" s="7" t="s">
        <v>23</v>
      </c>
      <c r="P8" s="7" t="s">
        <v>24</v>
      </c>
      <c r="Q8" s="6">
        <v>-4.12</v>
      </c>
      <c r="R8" s="10">
        <v>-6608.41</v>
      </c>
      <c r="S8" s="10">
        <v>2714.01</v>
      </c>
      <c r="T8" s="9" t="s">
        <v>33</v>
      </c>
      <c r="U8" s="9"/>
      <c r="V8" s="9"/>
      <c r="W8" s="9"/>
      <c r="X8" s="9"/>
      <c r="Y8" s="9"/>
      <c r="Z8" s="9"/>
      <c r="AA8" s="9"/>
      <c r="AB8" s="9"/>
    </row>
    <row r="9">
      <c r="A9" s="5">
        <v>41645.0</v>
      </c>
      <c r="B9" s="6">
        <v>2014.0</v>
      </c>
      <c r="C9" s="7" t="s">
        <v>30</v>
      </c>
      <c r="D9" s="7" t="s">
        <v>42</v>
      </c>
      <c r="E9" s="7" t="s">
        <v>22</v>
      </c>
      <c r="F9" s="6">
        <v>9448.0</v>
      </c>
      <c r="G9" s="6">
        <v>306351.95</v>
      </c>
      <c r="H9" s="6">
        <v>32.43</v>
      </c>
      <c r="I9" s="8">
        <v>33.17591765453006</v>
      </c>
      <c r="J9" s="6">
        <v>313446.07</v>
      </c>
      <c r="K9" s="6">
        <v>-7094.12</v>
      </c>
      <c r="L9" s="6">
        <v>-2.32</v>
      </c>
      <c r="M9" s="6">
        <f t="shared" si="1"/>
        <v>-0.7508594412</v>
      </c>
      <c r="N9" s="6">
        <v>-2.32</v>
      </c>
      <c r="O9" s="7" t="s">
        <v>23</v>
      </c>
      <c r="P9" s="7" t="s">
        <v>24</v>
      </c>
      <c r="Q9" s="6">
        <v>-4.12</v>
      </c>
      <c r="R9" s="10">
        <v>-3894.4</v>
      </c>
      <c r="S9" s="10">
        <v>-3199.72</v>
      </c>
      <c r="T9" s="9" t="s">
        <v>29</v>
      </c>
      <c r="U9" s="9"/>
      <c r="V9" s="9"/>
      <c r="W9" s="9"/>
      <c r="X9" s="9"/>
      <c r="Y9" s="9"/>
      <c r="Z9" s="9"/>
      <c r="AA9" s="9"/>
      <c r="AB9" s="9"/>
    </row>
    <row r="10">
      <c r="A10" s="5">
        <v>41646.0</v>
      </c>
      <c r="B10" s="6">
        <v>2014.0</v>
      </c>
      <c r="C10" s="7" t="s">
        <v>30</v>
      </c>
      <c r="D10" s="7" t="s">
        <v>43</v>
      </c>
      <c r="E10" s="7" t="s">
        <v>28</v>
      </c>
      <c r="F10" s="6">
        <v>6911.0</v>
      </c>
      <c r="G10" s="6">
        <v>224020.41</v>
      </c>
      <c r="H10" s="6">
        <v>32.42</v>
      </c>
      <c r="I10" s="8">
        <v>33.212844740269134</v>
      </c>
      <c r="J10" s="6">
        <v>229533.97</v>
      </c>
      <c r="K10" s="6">
        <v>-5513.56</v>
      </c>
      <c r="L10" s="6">
        <v>-2.46</v>
      </c>
      <c r="M10" s="6">
        <f t="shared" si="1"/>
        <v>-0.7977948199</v>
      </c>
      <c r="N10" s="6">
        <v>-2.46</v>
      </c>
      <c r="O10" s="7" t="s">
        <v>23</v>
      </c>
      <c r="P10" s="7" t="s">
        <v>24</v>
      </c>
      <c r="Q10" s="6">
        <v>-4.12</v>
      </c>
      <c r="R10" s="10">
        <v>-7094.12</v>
      </c>
      <c r="S10" s="10">
        <v>1580.55</v>
      </c>
      <c r="T10" s="9" t="s">
        <v>33</v>
      </c>
      <c r="U10" s="9"/>
      <c r="V10" s="9"/>
      <c r="W10" s="9"/>
      <c r="X10" s="9"/>
      <c r="Y10" s="9"/>
      <c r="Z10" s="9"/>
      <c r="AA10" s="9"/>
      <c r="AB10" s="9"/>
    </row>
    <row r="11">
      <c r="A11" s="5">
        <v>41647.0</v>
      </c>
      <c r="B11" s="6">
        <v>2014.0</v>
      </c>
      <c r="C11" s="7" t="s">
        <v>30</v>
      </c>
      <c r="D11" s="7" t="s">
        <v>44</v>
      </c>
      <c r="E11" s="7" t="s">
        <v>32</v>
      </c>
      <c r="F11" s="6">
        <v>2990.0</v>
      </c>
      <c r="G11" s="6">
        <v>101836.4</v>
      </c>
      <c r="H11" s="6">
        <v>34.06</v>
      </c>
      <c r="I11" s="8">
        <v>33.23811705685619</v>
      </c>
      <c r="J11" s="6">
        <v>99381.97</v>
      </c>
      <c r="K11" s="6">
        <v>2454.43</v>
      </c>
      <c r="L11" s="6">
        <v>2.41</v>
      </c>
      <c r="M11" s="6">
        <f t="shared" si="1"/>
        <v>0.8208795987</v>
      </c>
      <c r="N11" s="6">
        <v>2.41</v>
      </c>
      <c r="O11" s="7" t="s">
        <v>45</v>
      </c>
      <c r="P11" s="7" t="s">
        <v>46</v>
      </c>
      <c r="Q11" s="7" t="s">
        <v>25</v>
      </c>
      <c r="R11" s="10">
        <v>-5513.56</v>
      </c>
      <c r="S11" s="10">
        <v>7968.0</v>
      </c>
      <c r="T11" s="9" t="s">
        <v>33</v>
      </c>
      <c r="U11" s="9"/>
      <c r="V11" s="9"/>
      <c r="W11" s="9"/>
      <c r="X11" s="9"/>
      <c r="Y11" s="9"/>
      <c r="Z11" s="9"/>
      <c r="AA11" s="9"/>
      <c r="AB11" s="9"/>
    </row>
    <row r="12">
      <c r="A12" s="5">
        <v>41648.0</v>
      </c>
      <c r="B12" s="6">
        <v>2014.0</v>
      </c>
      <c r="C12" s="7" t="s">
        <v>30</v>
      </c>
      <c r="D12" s="7" t="s">
        <v>47</v>
      </c>
      <c r="E12" s="7" t="s">
        <v>35</v>
      </c>
      <c r="F12" s="6">
        <v>3159.0</v>
      </c>
      <c r="G12" s="6">
        <v>107804.3</v>
      </c>
      <c r="H12" s="6">
        <v>34.13</v>
      </c>
      <c r="I12" s="8">
        <v>33.180265906932576</v>
      </c>
      <c r="J12" s="6">
        <v>104816.46</v>
      </c>
      <c r="K12" s="6">
        <v>2987.85</v>
      </c>
      <c r="L12" s="6">
        <v>2.77</v>
      </c>
      <c r="M12" s="6">
        <f t="shared" si="1"/>
        <v>0.9458214625</v>
      </c>
      <c r="N12" s="6">
        <v>2.77</v>
      </c>
      <c r="O12" s="7" t="s">
        <v>45</v>
      </c>
      <c r="P12" s="7" t="s">
        <v>46</v>
      </c>
      <c r="Q12" s="7" t="s">
        <v>25</v>
      </c>
      <c r="R12" s="10">
        <v>2454.43</v>
      </c>
      <c r="S12" s="10">
        <v>533.41</v>
      </c>
      <c r="T12" s="9" t="s">
        <v>33</v>
      </c>
      <c r="U12" s="9"/>
      <c r="V12" s="9"/>
      <c r="W12" s="9"/>
      <c r="X12" s="9"/>
      <c r="Y12" s="9"/>
      <c r="Z12" s="9"/>
      <c r="AA12" s="9"/>
      <c r="AB12" s="9"/>
    </row>
    <row r="13">
      <c r="A13" s="5">
        <v>41649.0</v>
      </c>
      <c r="B13" s="6">
        <v>2014.0</v>
      </c>
      <c r="C13" s="7" t="s">
        <v>30</v>
      </c>
      <c r="D13" s="7" t="s">
        <v>48</v>
      </c>
      <c r="E13" s="7" t="s">
        <v>37</v>
      </c>
      <c r="F13" s="6">
        <v>4246.0</v>
      </c>
      <c r="G13" s="6">
        <v>144829.96</v>
      </c>
      <c r="H13" s="6">
        <v>34.11</v>
      </c>
      <c r="I13" s="8">
        <v>33.28638718794159</v>
      </c>
      <c r="J13" s="6">
        <v>141334.0</v>
      </c>
      <c r="K13" s="6">
        <v>3495.96</v>
      </c>
      <c r="L13" s="6">
        <v>2.41</v>
      </c>
      <c r="M13" s="6">
        <f t="shared" si="1"/>
        <v>0.8233537447</v>
      </c>
      <c r="N13" s="6">
        <v>2.41</v>
      </c>
      <c r="O13" s="7" t="s">
        <v>45</v>
      </c>
      <c r="P13" s="7" t="s">
        <v>46</v>
      </c>
      <c r="Q13" s="7" t="s">
        <v>25</v>
      </c>
      <c r="R13" s="10">
        <v>2987.85</v>
      </c>
      <c r="S13" s="10">
        <v>508.11</v>
      </c>
      <c r="T13" s="9" t="s">
        <v>33</v>
      </c>
      <c r="U13" s="9"/>
      <c r="V13" s="9"/>
      <c r="W13" s="9"/>
      <c r="X13" s="9"/>
      <c r="Y13" s="9"/>
      <c r="Z13" s="9"/>
      <c r="AA13" s="9"/>
      <c r="AB13" s="9"/>
    </row>
    <row r="14">
      <c r="A14" s="5">
        <v>41650.0</v>
      </c>
      <c r="B14" s="6">
        <v>2014.0</v>
      </c>
      <c r="C14" s="7" t="s">
        <v>30</v>
      </c>
      <c r="D14" s="7" t="s">
        <v>49</v>
      </c>
      <c r="E14" s="7" t="s">
        <v>39</v>
      </c>
      <c r="F14" s="6">
        <v>4297.0</v>
      </c>
      <c r="G14" s="6">
        <v>146571.48</v>
      </c>
      <c r="H14" s="6">
        <v>34.11</v>
      </c>
      <c r="I14" s="8">
        <v>33.32084477542472</v>
      </c>
      <c r="J14" s="6">
        <v>143179.67</v>
      </c>
      <c r="K14" s="6">
        <v>3391.81</v>
      </c>
      <c r="L14" s="6">
        <v>2.31</v>
      </c>
      <c r="M14" s="6">
        <f t="shared" si="1"/>
        <v>0.7893437282</v>
      </c>
      <c r="N14" s="6">
        <v>2.31</v>
      </c>
      <c r="O14" s="7" t="s">
        <v>45</v>
      </c>
      <c r="P14" s="7" t="s">
        <v>46</v>
      </c>
      <c r="Q14" s="7" t="s">
        <v>25</v>
      </c>
      <c r="R14" s="10">
        <v>3495.96</v>
      </c>
      <c r="S14" s="10">
        <v>-104.15</v>
      </c>
      <c r="T14" s="9" t="s">
        <v>29</v>
      </c>
      <c r="U14" s="9"/>
      <c r="V14" s="9"/>
      <c r="W14" s="9"/>
      <c r="X14" s="9"/>
      <c r="Y14" s="9"/>
      <c r="Z14" s="9"/>
      <c r="AA14" s="9"/>
      <c r="AB14" s="9"/>
    </row>
    <row r="15">
      <c r="A15" s="5">
        <v>41651.0</v>
      </c>
      <c r="B15" s="6">
        <v>2014.0</v>
      </c>
      <c r="C15" s="7" t="s">
        <v>30</v>
      </c>
      <c r="D15" s="7" t="s">
        <v>50</v>
      </c>
      <c r="E15" s="7" t="s">
        <v>41</v>
      </c>
      <c r="F15" s="6">
        <v>2796.0</v>
      </c>
      <c r="G15" s="6">
        <v>95422.37</v>
      </c>
      <c r="H15" s="6">
        <v>34.13</v>
      </c>
      <c r="I15" s="8">
        <v>33.30692060085837</v>
      </c>
      <c r="J15" s="6">
        <v>93126.15</v>
      </c>
      <c r="K15" s="6">
        <v>2296.23</v>
      </c>
      <c r="L15" s="6">
        <v>2.41</v>
      </c>
      <c r="M15" s="6">
        <f t="shared" si="1"/>
        <v>0.8212553648</v>
      </c>
      <c r="N15" s="6">
        <v>2.41</v>
      </c>
      <c r="O15" s="7" t="s">
        <v>45</v>
      </c>
      <c r="P15" s="7" t="s">
        <v>46</v>
      </c>
      <c r="Q15" s="7" t="s">
        <v>25</v>
      </c>
      <c r="R15" s="10">
        <v>3391.81</v>
      </c>
      <c r="S15" s="10">
        <v>-1095.59</v>
      </c>
      <c r="T15" s="9" t="s">
        <v>29</v>
      </c>
      <c r="U15" s="9"/>
      <c r="V15" s="9"/>
      <c r="W15" s="9"/>
      <c r="X15" s="9"/>
      <c r="Y15" s="9"/>
      <c r="Z15" s="9"/>
      <c r="AA15" s="9"/>
      <c r="AB15" s="9"/>
    </row>
    <row r="16">
      <c r="A16" s="5">
        <v>41652.0</v>
      </c>
      <c r="B16" s="6">
        <v>2014.0</v>
      </c>
      <c r="C16" s="7" t="s">
        <v>30</v>
      </c>
      <c r="D16" s="7" t="s">
        <v>51</v>
      </c>
      <c r="E16" s="7" t="s">
        <v>22</v>
      </c>
      <c r="F16" s="6">
        <v>3369.0</v>
      </c>
      <c r="G16" s="6">
        <v>114883.17</v>
      </c>
      <c r="H16" s="6">
        <v>34.1</v>
      </c>
      <c r="I16" s="8">
        <v>33.2995874146631</v>
      </c>
      <c r="J16" s="6">
        <v>112186.31</v>
      </c>
      <c r="K16" s="6">
        <v>2696.87</v>
      </c>
      <c r="L16" s="6">
        <v>2.35</v>
      </c>
      <c r="M16" s="6">
        <f t="shared" si="1"/>
        <v>0.8004956961</v>
      </c>
      <c r="N16" s="6">
        <v>2.35</v>
      </c>
      <c r="O16" s="7" t="s">
        <v>45</v>
      </c>
      <c r="P16" s="7" t="s">
        <v>46</v>
      </c>
      <c r="Q16" s="7" t="s">
        <v>25</v>
      </c>
      <c r="R16" s="10">
        <v>2296.23</v>
      </c>
      <c r="S16" s="10">
        <v>400.64</v>
      </c>
      <c r="T16" s="9" t="s">
        <v>33</v>
      </c>
      <c r="U16" s="9"/>
      <c r="V16" s="9"/>
      <c r="W16" s="9"/>
      <c r="X16" s="9"/>
      <c r="Y16" s="9"/>
      <c r="Z16" s="9"/>
      <c r="AA16" s="9"/>
      <c r="AB16" s="9"/>
    </row>
    <row r="17">
      <c r="A17" s="5">
        <v>41653.0</v>
      </c>
      <c r="B17" s="6">
        <v>2014.0</v>
      </c>
      <c r="C17" s="7" t="s">
        <v>30</v>
      </c>
      <c r="D17" s="7" t="s">
        <v>52</v>
      </c>
      <c r="E17" s="7" t="s">
        <v>28</v>
      </c>
      <c r="F17" s="6">
        <v>2348.0</v>
      </c>
      <c r="G17" s="6">
        <v>80090.8</v>
      </c>
      <c r="H17" s="6">
        <v>34.11</v>
      </c>
      <c r="I17" s="8">
        <v>33.26097103918228</v>
      </c>
      <c r="J17" s="6">
        <v>78096.76</v>
      </c>
      <c r="K17" s="6">
        <v>1994.04</v>
      </c>
      <c r="L17" s="6">
        <v>2.49</v>
      </c>
      <c r="M17" s="6">
        <f t="shared" si="1"/>
        <v>0.8492504259</v>
      </c>
      <c r="N17" s="6">
        <v>2.49</v>
      </c>
      <c r="O17" s="7" t="s">
        <v>45</v>
      </c>
      <c r="P17" s="7" t="s">
        <v>46</v>
      </c>
      <c r="Q17" s="7" t="s">
        <v>25</v>
      </c>
      <c r="R17" s="10">
        <v>2696.87</v>
      </c>
      <c r="S17" s="10">
        <v>-702.83</v>
      </c>
      <c r="T17" s="9" t="s">
        <v>29</v>
      </c>
      <c r="U17" s="9"/>
      <c r="V17" s="9"/>
      <c r="W17" s="9"/>
      <c r="X17" s="9"/>
      <c r="Y17" s="9"/>
      <c r="Z17" s="9"/>
      <c r="AA17" s="9"/>
      <c r="AB17" s="9"/>
    </row>
    <row r="18">
      <c r="A18" s="5">
        <v>41654.0</v>
      </c>
      <c r="B18" s="6">
        <v>2014.0</v>
      </c>
      <c r="C18" s="7" t="s">
        <v>30</v>
      </c>
      <c r="D18" s="7" t="s">
        <v>53</v>
      </c>
      <c r="E18" s="7" t="s">
        <v>32</v>
      </c>
      <c r="F18" s="6">
        <v>2903.0</v>
      </c>
      <c r="G18" s="6">
        <v>98945.37</v>
      </c>
      <c r="H18" s="6">
        <v>34.08</v>
      </c>
      <c r="I18" s="8">
        <v>33.46848088184637</v>
      </c>
      <c r="J18" s="6">
        <v>97159.0</v>
      </c>
      <c r="K18" s="6">
        <v>1786.37</v>
      </c>
      <c r="L18" s="6">
        <v>1.81</v>
      </c>
      <c r="M18" s="6">
        <f t="shared" si="1"/>
        <v>0.615353083</v>
      </c>
      <c r="N18" s="6">
        <v>1.81</v>
      </c>
      <c r="O18" s="7" t="s">
        <v>45</v>
      </c>
      <c r="P18" s="7" t="s">
        <v>46</v>
      </c>
      <c r="Q18" s="7" t="s">
        <v>25</v>
      </c>
      <c r="R18" s="10">
        <v>1994.04</v>
      </c>
      <c r="S18" s="10">
        <v>-207.67</v>
      </c>
      <c r="T18" s="9" t="s">
        <v>29</v>
      </c>
      <c r="U18" s="9"/>
      <c r="V18" s="9"/>
      <c r="W18" s="9"/>
      <c r="X18" s="9"/>
      <c r="Y18" s="9"/>
      <c r="Z18" s="9"/>
      <c r="AA18" s="9"/>
      <c r="AB18" s="9"/>
    </row>
    <row r="19">
      <c r="A19" s="5">
        <v>41655.0</v>
      </c>
      <c r="B19" s="6">
        <v>2014.0</v>
      </c>
      <c r="C19" s="7" t="s">
        <v>30</v>
      </c>
      <c r="D19" s="7" t="s">
        <v>54</v>
      </c>
      <c r="E19" s="7" t="s">
        <v>35</v>
      </c>
      <c r="F19" s="6">
        <v>2491.0</v>
      </c>
      <c r="G19" s="6">
        <v>84904.9</v>
      </c>
      <c r="H19" s="6">
        <v>34.08</v>
      </c>
      <c r="I19" s="8">
        <v>33.46063026896828</v>
      </c>
      <c r="J19" s="6">
        <v>83350.43</v>
      </c>
      <c r="K19" s="6">
        <v>1554.47</v>
      </c>
      <c r="L19" s="6">
        <v>1.83</v>
      </c>
      <c r="M19" s="6">
        <f t="shared" si="1"/>
        <v>0.6240345243</v>
      </c>
      <c r="N19" s="6">
        <v>1.83</v>
      </c>
      <c r="O19" s="7" t="s">
        <v>45</v>
      </c>
      <c r="P19" s="7" t="s">
        <v>46</v>
      </c>
      <c r="Q19" s="7" t="s">
        <v>25</v>
      </c>
      <c r="R19" s="10">
        <v>1786.37</v>
      </c>
      <c r="S19" s="10">
        <v>-231.9</v>
      </c>
      <c r="T19" s="9" t="s">
        <v>29</v>
      </c>
      <c r="U19" s="9"/>
      <c r="V19" s="9"/>
      <c r="W19" s="9"/>
      <c r="X19" s="9"/>
      <c r="Y19" s="9"/>
      <c r="Z19" s="9"/>
      <c r="AA19" s="9"/>
      <c r="AB19" s="9"/>
    </row>
    <row r="20">
      <c r="A20" s="5">
        <v>41656.0</v>
      </c>
      <c r="B20" s="6">
        <v>2014.0</v>
      </c>
      <c r="C20" s="7" t="s">
        <v>30</v>
      </c>
      <c r="D20" s="7" t="s">
        <v>55</v>
      </c>
      <c r="E20" s="7" t="s">
        <v>37</v>
      </c>
      <c r="F20" s="6">
        <v>3968.0</v>
      </c>
      <c r="G20" s="6">
        <v>135460.62</v>
      </c>
      <c r="H20" s="6">
        <v>34.14</v>
      </c>
      <c r="I20" s="8">
        <v>33.44338205645161</v>
      </c>
      <c r="J20" s="6">
        <v>132703.34</v>
      </c>
      <c r="K20" s="6">
        <v>2757.28</v>
      </c>
      <c r="L20" s="6">
        <v>2.04</v>
      </c>
      <c r="M20" s="6">
        <f t="shared" si="1"/>
        <v>0.6948790323</v>
      </c>
      <c r="N20" s="6">
        <v>2.04</v>
      </c>
      <c r="O20" s="7" t="s">
        <v>45</v>
      </c>
      <c r="P20" s="7" t="s">
        <v>46</v>
      </c>
      <c r="Q20" s="7" t="s">
        <v>25</v>
      </c>
      <c r="R20" s="10">
        <v>1554.47</v>
      </c>
      <c r="S20" s="10">
        <v>1202.82</v>
      </c>
      <c r="T20" s="9" t="s">
        <v>33</v>
      </c>
      <c r="U20" s="9"/>
      <c r="V20" s="9"/>
      <c r="W20" s="9"/>
      <c r="X20" s="9"/>
      <c r="Y20" s="9"/>
      <c r="Z20" s="9"/>
      <c r="AA20" s="9"/>
      <c r="AB20" s="9"/>
    </row>
    <row r="21">
      <c r="A21" s="5">
        <v>41657.0</v>
      </c>
      <c r="B21" s="6">
        <v>2014.0</v>
      </c>
      <c r="C21" s="7" t="s">
        <v>30</v>
      </c>
      <c r="D21" s="7" t="s">
        <v>56</v>
      </c>
      <c r="E21" s="7" t="s">
        <v>39</v>
      </c>
      <c r="F21" s="6">
        <v>4393.0</v>
      </c>
      <c r="G21" s="6">
        <v>149925.75</v>
      </c>
      <c r="H21" s="6">
        <v>34.13</v>
      </c>
      <c r="I21" s="8">
        <v>33.446030047803326</v>
      </c>
      <c r="J21" s="6">
        <v>146928.41</v>
      </c>
      <c r="K21" s="6">
        <v>2997.34</v>
      </c>
      <c r="L21" s="6">
        <v>2.0</v>
      </c>
      <c r="M21" s="6">
        <f t="shared" si="1"/>
        <v>0.6822991122</v>
      </c>
      <c r="N21" s="6">
        <v>2.0</v>
      </c>
      <c r="O21" s="7" t="s">
        <v>45</v>
      </c>
      <c r="P21" s="7" t="s">
        <v>46</v>
      </c>
      <c r="Q21" s="7" t="s">
        <v>25</v>
      </c>
      <c r="R21" s="10">
        <v>2757.28</v>
      </c>
      <c r="S21" s="10">
        <v>240.05</v>
      </c>
      <c r="T21" s="9" t="s">
        <v>33</v>
      </c>
      <c r="U21" s="9"/>
      <c r="V21" s="9"/>
      <c r="W21" s="9"/>
      <c r="X21" s="9"/>
      <c r="Y21" s="9"/>
      <c r="Z21" s="9"/>
      <c r="AA21" s="9"/>
      <c r="AB21" s="9"/>
    </row>
    <row r="22">
      <c r="A22" s="5">
        <v>41658.0</v>
      </c>
      <c r="B22" s="6">
        <v>2014.0</v>
      </c>
      <c r="C22" s="7" t="s">
        <v>30</v>
      </c>
      <c r="D22" s="7" t="s">
        <v>57</v>
      </c>
      <c r="E22" s="7" t="s">
        <v>41</v>
      </c>
      <c r="F22" s="6">
        <v>2176.0</v>
      </c>
      <c r="G22" s="6">
        <v>74297.31</v>
      </c>
      <c r="H22" s="6">
        <v>34.14</v>
      </c>
      <c r="I22" s="8">
        <v>33.44773897058823</v>
      </c>
      <c r="J22" s="6">
        <v>72782.28</v>
      </c>
      <c r="K22" s="6">
        <v>1515.02</v>
      </c>
      <c r="L22" s="6">
        <v>2.04</v>
      </c>
      <c r="M22" s="6">
        <f t="shared" si="1"/>
        <v>0.6962408088</v>
      </c>
      <c r="N22" s="6">
        <v>2.04</v>
      </c>
      <c r="O22" s="7" t="s">
        <v>45</v>
      </c>
      <c r="P22" s="7" t="s">
        <v>46</v>
      </c>
      <c r="Q22" s="7" t="s">
        <v>25</v>
      </c>
      <c r="R22" s="10">
        <v>2997.34</v>
      </c>
      <c r="S22" s="10">
        <v>-1482.32</v>
      </c>
      <c r="T22" s="9" t="s">
        <v>29</v>
      </c>
      <c r="U22" s="9"/>
      <c r="V22" s="9"/>
      <c r="W22" s="9"/>
      <c r="X22" s="9"/>
      <c r="Y22" s="9"/>
      <c r="Z22" s="9"/>
      <c r="AA22" s="9"/>
      <c r="AB22" s="9"/>
    </row>
    <row r="23">
      <c r="A23" s="5">
        <v>41659.0</v>
      </c>
      <c r="B23" s="6">
        <v>2014.0</v>
      </c>
      <c r="C23" s="7" t="s">
        <v>30</v>
      </c>
      <c r="D23" s="7" t="s">
        <v>58</v>
      </c>
      <c r="E23" s="7" t="s">
        <v>22</v>
      </c>
      <c r="F23" s="6">
        <v>2443.0</v>
      </c>
      <c r="G23" s="6">
        <v>83356.42</v>
      </c>
      <c r="H23" s="6">
        <v>34.12</v>
      </c>
      <c r="I23" s="8">
        <v>33.47897666803111</v>
      </c>
      <c r="J23" s="6">
        <v>81789.14</v>
      </c>
      <c r="K23" s="6">
        <v>1567.29</v>
      </c>
      <c r="L23" s="6">
        <v>1.88</v>
      </c>
      <c r="M23" s="6">
        <f t="shared" si="1"/>
        <v>0.6415431846</v>
      </c>
      <c r="N23" s="6">
        <v>1.88</v>
      </c>
      <c r="O23" s="7" t="s">
        <v>45</v>
      </c>
      <c r="P23" s="7" t="s">
        <v>46</v>
      </c>
      <c r="Q23" s="7" t="s">
        <v>25</v>
      </c>
      <c r="R23" s="10">
        <v>1515.02</v>
      </c>
      <c r="S23" s="10">
        <v>52.27</v>
      </c>
      <c r="T23" s="9" t="s">
        <v>33</v>
      </c>
      <c r="U23" s="9"/>
      <c r="V23" s="9"/>
      <c r="W23" s="9"/>
      <c r="X23" s="9"/>
      <c r="Y23" s="9"/>
      <c r="Z23" s="9"/>
      <c r="AA23" s="9"/>
      <c r="AB23" s="9"/>
    </row>
    <row r="24">
      <c r="A24" s="5">
        <v>41660.0</v>
      </c>
      <c r="B24" s="6">
        <v>2014.0</v>
      </c>
      <c r="C24" s="7" t="s">
        <v>30</v>
      </c>
      <c r="D24" s="7" t="s">
        <v>59</v>
      </c>
      <c r="E24" s="7" t="s">
        <v>28</v>
      </c>
      <c r="F24" s="6">
        <v>2638.0</v>
      </c>
      <c r="G24" s="6">
        <v>89922.01</v>
      </c>
      <c r="H24" s="6">
        <v>34.09</v>
      </c>
      <c r="I24" s="8">
        <v>33.50603487490523</v>
      </c>
      <c r="J24" s="6">
        <v>88388.92</v>
      </c>
      <c r="K24" s="6">
        <v>1533.1</v>
      </c>
      <c r="L24" s="6">
        <v>1.7</v>
      </c>
      <c r="M24" s="6">
        <f t="shared" si="1"/>
        <v>0.5811599697</v>
      </c>
      <c r="N24" s="6">
        <v>1.7</v>
      </c>
      <c r="O24" s="7" t="s">
        <v>45</v>
      </c>
      <c r="P24" s="7" t="s">
        <v>46</v>
      </c>
      <c r="Q24" s="7" t="s">
        <v>25</v>
      </c>
      <c r="R24" s="10">
        <v>1567.29</v>
      </c>
      <c r="S24" s="10">
        <v>-34.19</v>
      </c>
      <c r="T24" s="9" t="s">
        <v>29</v>
      </c>
      <c r="U24" s="9"/>
      <c r="V24" s="9"/>
      <c r="W24" s="9"/>
      <c r="X24" s="9"/>
      <c r="Y24" s="9"/>
      <c r="Z24" s="9"/>
      <c r="AA24" s="9"/>
      <c r="AB24" s="9"/>
    </row>
    <row r="25">
      <c r="A25" s="5">
        <v>41661.0</v>
      </c>
      <c r="B25" s="6">
        <v>2014.0</v>
      </c>
      <c r="C25" s="7" t="s">
        <v>30</v>
      </c>
      <c r="D25" s="7" t="s">
        <v>60</v>
      </c>
      <c r="E25" s="7" t="s">
        <v>32</v>
      </c>
      <c r="F25" s="6">
        <v>1704.0</v>
      </c>
      <c r="G25" s="6">
        <v>57806.3</v>
      </c>
      <c r="H25" s="6">
        <v>33.92</v>
      </c>
      <c r="I25" s="8">
        <v>33.54300469483568</v>
      </c>
      <c r="J25" s="6">
        <v>57157.28</v>
      </c>
      <c r="K25" s="6">
        <v>649.02</v>
      </c>
      <c r="L25" s="6">
        <v>1.12</v>
      </c>
      <c r="M25" s="6">
        <f t="shared" si="1"/>
        <v>0.3808802817</v>
      </c>
      <c r="N25" s="6">
        <v>1.12</v>
      </c>
      <c r="O25" s="7" t="s">
        <v>45</v>
      </c>
      <c r="P25" s="7" t="s">
        <v>46</v>
      </c>
      <c r="Q25" s="7" t="s">
        <v>25</v>
      </c>
      <c r="R25" s="10">
        <v>1533.1</v>
      </c>
      <c r="S25" s="10">
        <v>-884.08</v>
      </c>
      <c r="T25" s="9" t="s">
        <v>29</v>
      </c>
      <c r="U25" s="9"/>
      <c r="V25" s="9"/>
      <c r="W25" s="9"/>
      <c r="X25" s="9"/>
      <c r="Y25" s="9"/>
      <c r="Z25" s="9"/>
      <c r="AA25" s="9"/>
      <c r="AB25" s="9"/>
    </row>
    <row r="26">
      <c r="A26" s="5">
        <v>41662.0</v>
      </c>
      <c r="B26" s="6">
        <v>2014.0</v>
      </c>
      <c r="C26" s="7" t="s">
        <v>30</v>
      </c>
      <c r="D26" s="7" t="s">
        <v>61</v>
      </c>
      <c r="E26" s="7" t="s">
        <v>35</v>
      </c>
      <c r="F26" s="6">
        <v>1872.0</v>
      </c>
      <c r="G26" s="6">
        <v>63977.75</v>
      </c>
      <c r="H26" s="6">
        <v>34.18</v>
      </c>
      <c r="I26" s="8">
        <v>33.58119123931624</v>
      </c>
      <c r="J26" s="6">
        <v>62863.99</v>
      </c>
      <c r="K26" s="6">
        <v>1113.76</v>
      </c>
      <c r="L26" s="6">
        <v>1.74</v>
      </c>
      <c r="M26" s="6">
        <f t="shared" si="1"/>
        <v>0.594957265</v>
      </c>
      <c r="N26" s="6">
        <v>1.74</v>
      </c>
      <c r="O26" s="7" t="s">
        <v>45</v>
      </c>
      <c r="P26" s="7" t="s">
        <v>46</v>
      </c>
      <c r="Q26" s="7" t="s">
        <v>25</v>
      </c>
      <c r="R26" s="10">
        <v>649.02</v>
      </c>
      <c r="S26" s="10">
        <v>464.74</v>
      </c>
      <c r="T26" s="9" t="s">
        <v>33</v>
      </c>
      <c r="U26" s="9"/>
      <c r="V26" s="9"/>
      <c r="W26" s="9"/>
      <c r="X26" s="9"/>
      <c r="Y26" s="9"/>
      <c r="Z26" s="9"/>
      <c r="AA26" s="9"/>
      <c r="AB26" s="9"/>
    </row>
    <row r="27">
      <c r="A27" s="5">
        <v>41663.0</v>
      </c>
      <c r="B27" s="6">
        <v>2014.0</v>
      </c>
      <c r="C27" s="7" t="s">
        <v>30</v>
      </c>
      <c r="D27" s="7" t="s">
        <v>62</v>
      </c>
      <c r="E27" s="7" t="s">
        <v>37</v>
      </c>
      <c r="F27" s="6">
        <v>3423.0</v>
      </c>
      <c r="G27" s="6">
        <v>116958.8</v>
      </c>
      <c r="H27" s="6">
        <v>34.17</v>
      </c>
      <c r="I27" s="8">
        <v>33.54478527607362</v>
      </c>
      <c r="J27" s="6">
        <v>114823.8</v>
      </c>
      <c r="K27" s="6">
        <v>2135.0</v>
      </c>
      <c r="L27" s="6">
        <v>1.83</v>
      </c>
      <c r="M27" s="6">
        <f t="shared" si="1"/>
        <v>0.6237218814</v>
      </c>
      <c r="N27" s="6">
        <v>1.83</v>
      </c>
      <c r="O27" s="7" t="s">
        <v>45</v>
      </c>
      <c r="P27" s="7" t="s">
        <v>46</v>
      </c>
      <c r="Q27" s="7" t="s">
        <v>25</v>
      </c>
      <c r="R27" s="10">
        <v>1113.76</v>
      </c>
      <c r="S27" s="10">
        <v>1021.24</v>
      </c>
      <c r="T27" s="9" t="s">
        <v>33</v>
      </c>
      <c r="U27" s="9"/>
      <c r="V27" s="9"/>
      <c r="W27" s="9"/>
      <c r="X27" s="9"/>
      <c r="Y27" s="9"/>
      <c r="Z27" s="9"/>
      <c r="AA27" s="9"/>
      <c r="AB27" s="9"/>
    </row>
    <row r="28">
      <c r="A28" s="5">
        <v>41664.0</v>
      </c>
      <c r="B28" s="6">
        <v>2014.0</v>
      </c>
      <c r="C28" s="7" t="s">
        <v>30</v>
      </c>
      <c r="D28" s="7" t="s">
        <v>63</v>
      </c>
      <c r="E28" s="7" t="s">
        <v>39</v>
      </c>
      <c r="F28" s="6">
        <v>4544.0</v>
      </c>
      <c r="G28" s="6">
        <v>155272.82</v>
      </c>
      <c r="H28" s="6">
        <v>34.17</v>
      </c>
      <c r="I28" s="8">
        <v>33.59073063380281</v>
      </c>
      <c r="J28" s="6">
        <v>152636.28</v>
      </c>
      <c r="K28" s="6">
        <v>2636.55</v>
      </c>
      <c r="L28" s="6">
        <v>1.7</v>
      </c>
      <c r="M28" s="6">
        <f t="shared" si="1"/>
        <v>0.5802266725</v>
      </c>
      <c r="N28" s="6">
        <v>1.7</v>
      </c>
      <c r="O28" s="7" t="s">
        <v>45</v>
      </c>
      <c r="P28" s="7" t="s">
        <v>46</v>
      </c>
      <c r="Q28" s="7" t="s">
        <v>25</v>
      </c>
      <c r="R28" s="10">
        <v>2135.0</v>
      </c>
      <c r="S28" s="10">
        <v>501.54</v>
      </c>
      <c r="T28" s="9" t="s">
        <v>33</v>
      </c>
      <c r="U28" s="9"/>
      <c r="V28" s="9"/>
      <c r="W28" s="9"/>
      <c r="X28" s="9"/>
      <c r="Y28" s="9"/>
      <c r="Z28" s="9"/>
      <c r="AA28" s="9"/>
      <c r="AB28" s="9"/>
    </row>
    <row r="29">
      <c r="A29" s="5">
        <v>41665.0</v>
      </c>
      <c r="B29" s="6">
        <v>2014.0</v>
      </c>
      <c r="C29" s="7" t="s">
        <v>30</v>
      </c>
      <c r="D29" s="7" t="s">
        <v>64</v>
      </c>
      <c r="E29" s="7" t="s">
        <v>41</v>
      </c>
      <c r="F29" s="6">
        <v>2426.0</v>
      </c>
      <c r="G29" s="6">
        <v>82885.22</v>
      </c>
      <c r="H29" s="6">
        <v>34.17</v>
      </c>
      <c r="I29" s="8">
        <v>33.628676834295135</v>
      </c>
      <c r="J29" s="6">
        <v>81583.17</v>
      </c>
      <c r="K29" s="6">
        <v>1302.05</v>
      </c>
      <c r="L29" s="6">
        <v>1.57</v>
      </c>
      <c r="M29" s="6">
        <f t="shared" si="1"/>
        <v>0.5367065128</v>
      </c>
      <c r="N29" s="6">
        <v>1.57</v>
      </c>
      <c r="O29" s="7" t="s">
        <v>45</v>
      </c>
      <c r="P29" s="7" t="s">
        <v>46</v>
      </c>
      <c r="Q29" s="7" t="s">
        <v>25</v>
      </c>
      <c r="R29" s="10">
        <v>2636.55</v>
      </c>
      <c r="S29" s="10">
        <v>-1334.5</v>
      </c>
      <c r="T29" s="9" t="s">
        <v>29</v>
      </c>
      <c r="U29" s="9"/>
      <c r="V29" s="9"/>
      <c r="W29" s="9"/>
      <c r="X29" s="9"/>
      <c r="Y29" s="9"/>
      <c r="Z29" s="9"/>
      <c r="AA29" s="9"/>
      <c r="AB29" s="9"/>
    </row>
    <row r="30">
      <c r="A30" s="5">
        <v>41666.0</v>
      </c>
      <c r="B30" s="6">
        <v>2014.0</v>
      </c>
      <c r="C30" s="7" t="s">
        <v>30</v>
      </c>
      <c r="D30" s="7" t="s">
        <v>65</v>
      </c>
      <c r="E30" s="7" t="s">
        <v>22</v>
      </c>
      <c r="F30" s="6">
        <v>2117.0</v>
      </c>
      <c r="G30" s="6">
        <v>72353.43</v>
      </c>
      <c r="H30" s="6">
        <v>34.18</v>
      </c>
      <c r="I30" s="8">
        <v>33.7161832782239</v>
      </c>
      <c r="J30" s="6">
        <v>71377.16</v>
      </c>
      <c r="K30" s="6">
        <v>976.27</v>
      </c>
      <c r="L30" s="6">
        <v>1.35</v>
      </c>
      <c r="M30" s="6">
        <f t="shared" si="1"/>
        <v>0.4611572981</v>
      </c>
      <c r="N30" s="6">
        <v>1.35</v>
      </c>
      <c r="O30" s="7" t="s">
        <v>45</v>
      </c>
      <c r="P30" s="7" t="s">
        <v>46</v>
      </c>
      <c r="Q30" s="7" t="s">
        <v>25</v>
      </c>
      <c r="R30" s="10">
        <v>1302.05</v>
      </c>
      <c r="S30" s="10">
        <v>-325.78</v>
      </c>
      <c r="T30" s="9" t="s">
        <v>29</v>
      </c>
      <c r="U30" s="9"/>
      <c r="V30" s="9"/>
      <c r="W30" s="9"/>
      <c r="X30" s="9"/>
      <c r="Y30" s="9"/>
      <c r="Z30" s="9"/>
      <c r="AA30" s="9"/>
      <c r="AB30" s="9"/>
    </row>
    <row r="31">
      <c r="A31" s="5">
        <v>41667.0</v>
      </c>
      <c r="B31" s="6">
        <v>2014.0</v>
      </c>
      <c r="C31" s="7" t="s">
        <v>30</v>
      </c>
      <c r="D31" s="7" t="s">
        <v>66</v>
      </c>
      <c r="E31" s="7" t="s">
        <v>28</v>
      </c>
      <c r="F31" s="6">
        <v>1476.0</v>
      </c>
      <c r="G31" s="6">
        <v>50415.9</v>
      </c>
      <c r="H31" s="6">
        <v>34.16</v>
      </c>
      <c r="I31" s="8">
        <v>33.71890243902439</v>
      </c>
      <c r="J31" s="6">
        <v>49769.1</v>
      </c>
      <c r="K31" s="6">
        <v>646.81</v>
      </c>
      <c r="L31" s="6">
        <v>1.28</v>
      </c>
      <c r="M31" s="6">
        <f t="shared" si="1"/>
        <v>0.4382181572</v>
      </c>
      <c r="N31" s="6">
        <v>1.28</v>
      </c>
      <c r="O31" s="7" t="s">
        <v>45</v>
      </c>
      <c r="P31" s="7" t="s">
        <v>46</v>
      </c>
      <c r="Q31" s="7" t="s">
        <v>25</v>
      </c>
      <c r="R31" s="10">
        <v>976.27</v>
      </c>
      <c r="S31" s="10">
        <v>-329.46</v>
      </c>
      <c r="T31" s="9" t="s">
        <v>29</v>
      </c>
      <c r="U31" s="9"/>
      <c r="V31" s="9"/>
      <c r="W31" s="9"/>
      <c r="X31" s="9"/>
      <c r="Y31" s="9"/>
      <c r="Z31" s="9"/>
      <c r="AA31" s="9"/>
      <c r="AB31" s="9"/>
    </row>
    <row r="32">
      <c r="A32" s="5">
        <v>41668.0</v>
      </c>
      <c r="B32" s="6">
        <v>2014.0</v>
      </c>
      <c r="C32" s="7" t="s">
        <v>30</v>
      </c>
      <c r="D32" s="7" t="s">
        <v>67</v>
      </c>
      <c r="E32" s="7" t="s">
        <v>32</v>
      </c>
      <c r="F32" s="6">
        <v>1974.0</v>
      </c>
      <c r="G32" s="6">
        <v>67458.3</v>
      </c>
      <c r="H32" s="6">
        <v>34.17</v>
      </c>
      <c r="I32" s="8">
        <v>33.70285714285714</v>
      </c>
      <c r="J32" s="6">
        <v>66529.44</v>
      </c>
      <c r="K32" s="6">
        <v>928.86</v>
      </c>
      <c r="L32" s="6">
        <v>1.38</v>
      </c>
      <c r="M32" s="6">
        <f t="shared" si="1"/>
        <v>0.4705471125</v>
      </c>
      <c r="N32" s="6">
        <v>1.38</v>
      </c>
      <c r="O32" s="7" t="s">
        <v>45</v>
      </c>
      <c r="P32" s="7" t="s">
        <v>46</v>
      </c>
      <c r="Q32" s="7" t="s">
        <v>25</v>
      </c>
      <c r="R32" s="10">
        <v>646.81</v>
      </c>
      <c r="S32" s="10">
        <v>282.05</v>
      </c>
      <c r="T32" s="9" t="s">
        <v>33</v>
      </c>
      <c r="U32" s="9"/>
      <c r="V32" s="9"/>
      <c r="W32" s="9"/>
      <c r="X32" s="9"/>
      <c r="Y32" s="9"/>
      <c r="Z32" s="9"/>
      <c r="AA32" s="9"/>
      <c r="AB32" s="9"/>
    </row>
    <row r="33">
      <c r="A33" s="5">
        <v>41669.0</v>
      </c>
      <c r="B33" s="6">
        <v>2014.0</v>
      </c>
      <c r="C33" s="7" t="s">
        <v>30</v>
      </c>
      <c r="D33" s="7" t="s">
        <v>21</v>
      </c>
      <c r="E33" s="7" t="s">
        <v>35</v>
      </c>
      <c r="F33" s="6">
        <v>1892.0</v>
      </c>
      <c r="G33" s="6">
        <v>64640.37</v>
      </c>
      <c r="H33" s="6">
        <v>34.17</v>
      </c>
      <c r="I33" s="8">
        <v>33.69864693446089</v>
      </c>
      <c r="J33" s="6">
        <v>63757.84</v>
      </c>
      <c r="K33" s="6">
        <v>882.53</v>
      </c>
      <c r="L33" s="6">
        <v>1.37</v>
      </c>
      <c r="M33" s="6">
        <f t="shared" si="1"/>
        <v>0.4664534884</v>
      </c>
      <c r="N33" s="6">
        <v>1.37</v>
      </c>
      <c r="O33" s="7" t="s">
        <v>45</v>
      </c>
      <c r="P33" s="7" t="s">
        <v>46</v>
      </c>
      <c r="Q33" s="7" t="s">
        <v>25</v>
      </c>
      <c r="R33" s="10">
        <v>928.86</v>
      </c>
      <c r="S33" s="10">
        <v>-46.33</v>
      </c>
      <c r="T33" s="9" t="s">
        <v>29</v>
      </c>
      <c r="U33" s="9"/>
      <c r="V33" s="9"/>
      <c r="W33" s="9"/>
      <c r="X33" s="9"/>
      <c r="Y33" s="9"/>
      <c r="Z33" s="9"/>
      <c r="AA33" s="9"/>
      <c r="AB33" s="9"/>
    </row>
    <row r="34">
      <c r="A34" s="5">
        <v>41670.0</v>
      </c>
      <c r="B34" s="6">
        <v>2014.0</v>
      </c>
      <c r="C34" s="7" t="s">
        <v>30</v>
      </c>
      <c r="D34" s="7" t="s">
        <v>27</v>
      </c>
      <c r="E34" s="7" t="s">
        <v>37</v>
      </c>
      <c r="F34" s="6">
        <v>4030.0</v>
      </c>
      <c r="G34" s="6">
        <v>137693.87</v>
      </c>
      <c r="H34" s="6">
        <v>34.17</v>
      </c>
      <c r="I34" s="8">
        <v>33.65000248138958</v>
      </c>
      <c r="J34" s="6">
        <v>135609.51</v>
      </c>
      <c r="K34" s="6">
        <v>2084.37</v>
      </c>
      <c r="L34" s="6">
        <v>1.51</v>
      </c>
      <c r="M34" s="6">
        <f t="shared" si="1"/>
        <v>0.5172133995</v>
      </c>
      <c r="N34" s="6">
        <v>1.51</v>
      </c>
      <c r="O34" s="7" t="s">
        <v>45</v>
      </c>
      <c r="P34" s="7" t="s">
        <v>46</v>
      </c>
      <c r="Q34" s="7" t="s">
        <v>25</v>
      </c>
      <c r="R34" s="10">
        <v>882.53</v>
      </c>
      <c r="S34" s="10">
        <v>1201.84</v>
      </c>
      <c r="T34" s="9" t="s">
        <v>33</v>
      </c>
      <c r="U34" s="9"/>
      <c r="V34" s="9"/>
      <c r="W34" s="9"/>
      <c r="X34" s="9"/>
      <c r="Y34" s="9"/>
      <c r="Z34" s="9"/>
      <c r="AA34" s="9"/>
      <c r="AB34" s="9"/>
    </row>
    <row r="35">
      <c r="A35" s="5">
        <v>41671.0</v>
      </c>
      <c r="B35" s="6">
        <v>2014.0</v>
      </c>
      <c r="C35" s="7" t="s">
        <v>68</v>
      </c>
      <c r="D35" s="7" t="s">
        <v>31</v>
      </c>
      <c r="E35" s="7" t="s">
        <v>39</v>
      </c>
      <c r="F35" s="6">
        <v>5304.0</v>
      </c>
      <c r="G35" s="6">
        <v>181209.13</v>
      </c>
      <c r="H35" s="6">
        <v>34.16</v>
      </c>
      <c r="I35" s="8">
        <v>33.641726998491706</v>
      </c>
      <c r="J35" s="6">
        <v>178435.72</v>
      </c>
      <c r="K35" s="6">
        <v>2773.41</v>
      </c>
      <c r="L35" s="6">
        <v>1.53</v>
      </c>
      <c r="M35" s="6">
        <f t="shared" si="1"/>
        <v>0.5228902715</v>
      </c>
      <c r="N35" s="6">
        <v>1.53</v>
      </c>
      <c r="O35" s="7" t="s">
        <v>45</v>
      </c>
      <c r="P35" s="7" t="s">
        <v>46</v>
      </c>
      <c r="Q35" s="7" t="s">
        <v>25</v>
      </c>
      <c r="R35" s="10">
        <v>2084.37</v>
      </c>
      <c r="S35" s="10">
        <v>689.05</v>
      </c>
      <c r="T35" s="9" t="s">
        <v>33</v>
      </c>
      <c r="U35" s="9"/>
      <c r="V35" s="9"/>
      <c r="W35" s="9"/>
      <c r="X35" s="9"/>
      <c r="Y35" s="9"/>
      <c r="Z35" s="9"/>
      <c r="AA35" s="9"/>
      <c r="AB35" s="9"/>
    </row>
    <row r="36">
      <c r="A36" s="5">
        <v>41672.0</v>
      </c>
      <c r="B36" s="6">
        <v>2014.0</v>
      </c>
      <c r="C36" s="7" t="s">
        <v>68</v>
      </c>
      <c r="D36" s="7" t="s">
        <v>34</v>
      </c>
      <c r="E36" s="7" t="s">
        <v>41</v>
      </c>
      <c r="F36" s="6">
        <v>3320.0</v>
      </c>
      <c r="G36" s="6">
        <v>113433.58</v>
      </c>
      <c r="H36" s="6">
        <v>34.17</v>
      </c>
      <c r="I36" s="8">
        <v>33.574253012048196</v>
      </c>
      <c r="J36" s="6">
        <v>111466.52</v>
      </c>
      <c r="K36" s="6">
        <v>1967.06</v>
      </c>
      <c r="L36" s="6">
        <v>1.73</v>
      </c>
      <c r="M36" s="6">
        <f t="shared" si="1"/>
        <v>0.5924879518</v>
      </c>
      <c r="N36" s="6">
        <v>1.73</v>
      </c>
      <c r="O36" s="7" t="s">
        <v>45</v>
      </c>
      <c r="P36" s="7" t="s">
        <v>46</v>
      </c>
      <c r="Q36" s="7" t="s">
        <v>25</v>
      </c>
      <c r="R36" s="10">
        <v>2773.41</v>
      </c>
      <c r="S36" s="10">
        <v>-806.35</v>
      </c>
      <c r="T36" s="9" t="s">
        <v>29</v>
      </c>
      <c r="U36" s="9"/>
      <c r="V36" s="9"/>
      <c r="W36" s="9"/>
      <c r="X36" s="9"/>
      <c r="Y36" s="9"/>
      <c r="Z36" s="9"/>
      <c r="AA36" s="9"/>
      <c r="AB36" s="9"/>
    </row>
    <row r="37">
      <c r="A37" s="5">
        <v>41673.0</v>
      </c>
      <c r="B37" s="6">
        <v>2014.0</v>
      </c>
      <c r="C37" s="7" t="s">
        <v>68</v>
      </c>
      <c r="D37" s="7" t="s">
        <v>36</v>
      </c>
      <c r="E37" s="7" t="s">
        <v>22</v>
      </c>
      <c r="F37" s="6">
        <v>4191.0</v>
      </c>
      <c r="G37" s="6">
        <v>143192.53</v>
      </c>
      <c r="H37" s="6">
        <v>34.17</v>
      </c>
      <c r="I37" s="8">
        <v>33.52556191839656</v>
      </c>
      <c r="J37" s="6">
        <v>140505.63</v>
      </c>
      <c r="K37" s="6">
        <v>2686.9</v>
      </c>
      <c r="L37" s="6">
        <v>1.88</v>
      </c>
      <c r="M37" s="6">
        <f t="shared" si="1"/>
        <v>0.6411119065</v>
      </c>
      <c r="N37" s="6">
        <v>1.88</v>
      </c>
      <c r="O37" s="7" t="s">
        <v>45</v>
      </c>
      <c r="P37" s="7" t="s">
        <v>46</v>
      </c>
      <c r="Q37" s="7" t="s">
        <v>25</v>
      </c>
      <c r="R37" s="10">
        <v>1967.06</v>
      </c>
      <c r="S37" s="10">
        <v>719.83</v>
      </c>
      <c r="T37" s="9" t="s">
        <v>33</v>
      </c>
      <c r="U37" s="9"/>
      <c r="V37" s="9"/>
      <c r="W37" s="9"/>
      <c r="X37" s="9"/>
      <c r="Y37" s="9"/>
      <c r="Z37" s="9"/>
      <c r="AA37" s="9"/>
      <c r="AB37" s="9"/>
    </row>
    <row r="38">
      <c r="A38" s="5">
        <v>41674.0</v>
      </c>
      <c r="B38" s="6">
        <v>2014.0</v>
      </c>
      <c r="C38" s="7" t="s">
        <v>68</v>
      </c>
      <c r="D38" s="7" t="s">
        <v>38</v>
      </c>
      <c r="E38" s="7" t="s">
        <v>28</v>
      </c>
      <c r="F38" s="6">
        <v>3809.0</v>
      </c>
      <c r="G38" s="6">
        <v>130126.65</v>
      </c>
      <c r="H38" s="6">
        <v>34.16</v>
      </c>
      <c r="I38" s="8">
        <v>33.73491467576792</v>
      </c>
      <c r="J38" s="6">
        <v>128496.29</v>
      </c>
      <c r="K38" s="6">
        <v>1630.36</v>
      </c>
      <c r="L38" s="6">
        <v>1.25</v>
      </c>
      <c r="M38" s="6">
        <f t="shared" si="1"/>
        <v>0.4280283539</v>
      </c>
      <c r="N38" s="6">
        <v>1.25</v>
      </c>
      <c r="O38" s="7" t="s">
        <v>45</v>
      </c>
      <c r="P38" s="7" t="s">
        <v>46</v>
      </c>
      <c r="Q38" s="7" t="s">
        <v>25</v>
      </c>
      <c r="R38" s="10">
        <v>2686.9</v>
      </c>
      <c r="S38" s="10">
        <v>-1056.54</v>
      </c>
      <c r="T38" s="9" t="s">
        <v>29</v>
      </c>
      <c r="U38" s="9"/>
      <c r="V38" s="9"/>
      <c r="W38" s="9"/>
      <c r="X38" s="9"/>
      <c r="Y38" s="9"/>
      <c r="Z38" s="9"/>
      <c r="AA38" s="9"/>
      <c r="AB38" s="9"/>
    </row>
    <row r="39">
      <c r="A39" s="5">
        <v>41675.0</v>
      </c>
      <c r="B39" s="6">
        <v>2014.0</v>
      </c>
      <c r="C39" s="7" t="s">
        <v>68</v>
      </c>
      <c r="D39" s="7" t="s">
        <v>40</v>
      </c>
      <c r="E39" s="7" t="s">
        <v>32</v>
      </c>
      <c r="F39" s="6">
        <v>5764.0</v>
      </c>
      <c r="G39" s="6">
        <v>187155.87</v>
      </c>
      <c r="H39" s="6">
        <v>32.47</v>
      </c>
      <c r="I39" s="8">
        <v>33.84430950728661</v>
      </c>
      <c r="J39" s="6">
        <v>195078.6</v>
      </c>
      <c r="K39" s="6">
        <v>-7922.73</v>
      </c>
      <c r="L39" s="6">
        <v>-4.23</v>
      </c>
      <c r="M39" s="6">
        <f t="shared" si="1"/>
        <v>-1.374519431</v>
      </c>
      <c r="N39" s="6">
        <v>-4.23</v>
      </c>
      <c r="O39" s="7" t="s">
        <v>23</v>
      </c>
      <c r="P39" s="7" t="s">
        <v>46</v>
      </c>
      <c r="Q39" s="7" t="s">
        <v>25</v>
      </c>
      <c r="R39" s="10">
        <v>1630.36</v>
      </c>
      <c r="S39" s="10">
        <v>-9553.1</v>
      </c>
      <c r="T39" s="9" t="s">
        <v>29</v>
      </c>
      <c r="U39" s="9"/>
      <c r="V39" s="9"/>
      <c r="W39" s="9"/>
      <c r="X39" s="9"/>
      <c r="Y39" s="9"/>
      <c r="Z39" s="9"/>
      <c r="AA39" s="9"/>
      <c r="AB39" s="9"/>
    </row>
    <row r="40">
      <c r="A40" s="5">
        <v>41676.0</v>
      </c>
      <c r="B40" s="6">
        <v>2014.0</v>
      </c>
      <c r="C40" s="7" t="s">
        <v>68</v>
      </c>
      <c r="D40" s="7" t="s">
        <v>42</v>
      </c>
      <c r="E40" s="7" t="s">
        <v>35</v>
      </c>
      <c r="F40" s="6">
        <v>3028.0</v>
      </c>
      <c r="G40" s="6">
        <v>102314.71</v>
      </c>
      <c r="H40" s="6">
        <v>33.79</v>
      </c>
      <c r="I40" s="8">
        <v>33.6783322324967</v>
      </c>
      <c r="J40" s="6">
        <v>101977.99</v>
      </c>
      <c r="K40" s="6">
        <v>336.72</v>
      </c>
      <c r="L40" s="6">
        <v>0.33</v>
      </c>
      <c r="M40" s="6">
        <f t="shared" si="1"/>
        <v>0.1112021136</v>
      </c>
      <c r="N40" s="6">
        <v>0.33</v>
      </c>
      <c r="O40" s="7" t="s">
        <v>45</v>
      </c>
      <c r="P40" s="7" t="s">
        <v>46</v>
      </c>
      <c r="Q40" s="7" t="s">
        <v>25</v>
      </c>
      <c r="R40" s="10">
        <v>-7922.73</v>
      </c>
      <c r="S40" s="10">
        <v>8259.45</v>
      </c>
      <c r="T40" s="9" t="s">
        <v>33</v>
      </c>
      <c r="U40" s="9"/>
      <c r="V40" s="9"/>
      <c r="W40" s="9"/>
      <c r="X40" s="9"/>
      <c r="Y40" s="9"/>
      <c r="Z40" s="9"/>
      <c r="AA40" s="9"/>
      <c r="AB40" s="9"/>
    </row>
    <row r="41">
      <c r="A41" s="5">
        <v>41677.0</v>
      </c>
      <c r="B41" s="6">
        <v>2014.0</v>
      </c>
      <c r="C41" s="7" t="s">
        <v>68</v>
      </c>
      <c r="D41" s="7" t="s">
        <v>43</v>
      </c>
      <c r="E41" s="7" t="s">
        <v>37</v>
      </c>
      <c r="F41" s="6">
        <v>9284.0</v>
      </c>
      <c r="G41" s="6">
        <v>301553.84</v>
      </c>
      <c r="H41" s="6">
        <v>32.48</v>
      </c>
      <c r="I41" s="8">
        <v>33.7709166307626</v>
      </c>
      <c r="J41" s="6">
        <v>313529.19</v>
      </c>
      <c r="K41" s="6">
        <v>-11975.35</v>
      </c>
      <c r="L41" s="6">
        <v>-3.97</v>
      </c>
      <c r="M41" s="6">
        <f t="shared" si="1"/>
        <v>-1.289891211</v>
      </c>
      <c r="N41" s="6">
        <v>-3.97</v>
      </c>
      <c r="O41" s="7" t="s">
        <v>23</v>
      </c>
      <c r="P41" s="7" t="s">
        <v>69</v>
      </c>
      <c r="Q41" s="6">
        <v>-2.75</v>
      </c>
      <c r="R41" s="10">
        <v>336.72</v>
      </c>
      <c r="S41" s="10">
        <v>-12312.06</v>
      </c>
      <c r="T41" s="9" t="s">
        <v>29</v>
      </c>
      <c r="U41" s="9"/>
      <c r="V41" s="9"/>
      <c r="W41" s="9"/>
      <c r="X41" s="9"/>
      <c r="Y41" s="9"/>
      <c r="Z41" s="9"/>
      <c r="AA41" s="9"/>
      <c r="AB41" s="9"/>
    </row>
    <row r="42">
      <c r="A42" s="5">
        <v>41678.0</v>
      </c>
      <c r="B42" s="6">
        <v>2014.0</v>
      </c>
      <c r="C42" s="7" t="s">
        <v>68</v>
      </c>
      <c r="D42" s="7" t="s">
        <v>44</v>
      </c>
      <c r="E42" s="7" t="s">
        <v>39</v>
      </c>
      <c r="F42" s="6">
        <v>9737.0</v>
      </c>
      <c r="G42" s="6">
        <v>316073.18</v>
      </c>
      <c r="H42" s="6">
        <v>32.46</v>
      </c>
      <c r="I42" s="8">
        <v>33.86615795419534</v>
      </c>
      <c r="J42" s="6">
        <v>329754.78</v>
      </c>
      <c r="K42" s="6">
        <v>-13681.6</v>
      </c>
      <c r="L42" s="6">
        <v>-4.33</v>
      </c>
      <c r="M42" s="6">
        <f t="shared" si="1"/>
        <v>-1.405114512</v>
      </c>
      <c r="N42" s="6">
        <v>-4.33</v>
      </c>
      <c r="O42" s="7" t="s">
        <v>23</v>
      </c>
      <c r="P42" s="7" t="s">
        <v>69</v>
      </c>
      <c r="Q42" s="6">
        <v>-2.75</v>
      </c>
      <c r="R42" s="10">
        <v>-11975.35</v>
      </c>
      <c r="S42" s="10">
        <v>-1706.26</v>
      </c>
      <c r="T42" s="9" t="s">
        <v>29</v>
      </c>
      <c r="U42" s="9"/>
      <c r="V42" s="9"/>
      <c r="W42" s="9"/>
      <c r="X42" s="9"/>
      <c r="Y42" s="9"/>
      <c r="Z42" s="9"/>
      <c r="AA42" s="9"/>
      <c r="AB42" s="9"/>
    </row>
    <row r="43">
      <c r="A43" s="5">
        <v>41679.0</v>
      </c>
      <c r="B43" s="6">
        <v>2014.0</v>
      </c>
      <c r="C43" s="7" t="s">
        <v>68</v>
      </c>
      <c r="D43" s="7" t="s">
        <v>47</v>
      </c>
      <c r="E43" s="7" t="s">
        <v>41</v>
      </c>
      <c r="F43" s="6">
        <v>4163.0</v>
      </c>
      <c r="G43" s="6">
        <v>135178.04</v>
      </c>
      <c r="H43" s="6">
        <v>32.47</v>
      </c>
      <c r="I43" s="8">
        <v>33.997288013451836</v>
      </c>
      <c r="J43" s="6">
        <v>141530.71</v>
      </c>
      <c r="K43" s="6">
        <v>-6352.67</v>
      </c>
      <c r="L43" s="6">
        <v>-4.7</v>
      </c>
      <c r="M43" s="6">
        <f t="shared" si="1"/>
        <v>-1.525983666</v>
      </c>
      <c r="N43" s="6">
        <v>-4.7</v>
      </c>
      <c r="O43" s="7" t="s">
        <v>23</v>
      </c>
      <c r="P43" s="7" t="s">
        <v>69</v>
      </c>
      <c r="Q43" s="6">
        <v>-2.75</v>
      </c>
      <c r="R43" s="10">
        <v>-13681.6</v>
      </c>
      <c r="S43" s="10">
        <v>7328.94</v>
      </c>
      <c r="T43" s="9" t="s">
        <v>33</v>
      </c>
      <c r="U43" s="9"/>
      <c r="V43" s="9"/>
      <c r="W43" s="9"/>
      <c r="X43" s="9"/>
      <c r="Y43" s="9"/>
      <c r="Z43" s="9"/>
      <c r="AA43" s="9"/>
      <c r="AB43" s="9"/>
    </row>
    <row r="44">
      <c r="A44" s="5">
        <v>41680.0</v>
      </c>
      <c r="B44" s="6">
        <v>2014.0</v>
      </c>
      <c r="C44" s="7" t="s">
        <v>68</v>
      </c>
      <c r="D44" s="7" t="s">
        <v>48</v>
      </c>
      <c r="E44" s="7" t="s">
        <v>22</v>
      </c>
      <c r="F44" s="6">
        <v>4552.0</v>
      </c>
      <c r="G44" s="6">
        <v>147727.52</v>
      </c>
      <c r="H44" s="6">
        <v>32.45</v>
      </c>
      <c r="I44" s="8">
        <v>34.013330404217925</v>
      </c>
      <c r="J44" s="6">
        <v>154828.68</v>
      </c>
      <c r="K44" s="6">
        <v>-7101.17</v>
      </c>
      <c r="L44" s="6">
        <v>-4.81</v>
      </c>
      <c r="M44" s="6">
        <f t="shared" si="1"/>
        <v>-1.560010984</v>
      </c>
      <c r="N44" s="6">
        <v>-4.81</v>
      </c>
      <c r="O44" s="7" t="s">
        <v>23</v>
      </c>
      <c r="P44" s="7" t="s">
        <v>69</v>
      </c>
      <c r="Q44" s="6">
        <v>-2.75</v>
      </c>
      <c r="R44" s="10">
        <v>-6352.67</v>
      </c>
      <c r="S44" s="10">
        <v>-748.5</v>
      </c>
      <c r="T44" s="9" t="s">
        <v>29</v>
      </c>
      <c r="U44" s="9"/>
      <c r="V44" s="9"/>
      <c r="W44" s="9"/>
      <c r="X44" s="9"/>
      <c r="Y44" s="9"/>
      <c r="Z44" s="9"/>
      <c r="AA44" s="9"/>
      <c r="AB44" s="9"/>
    </row>
    <row r="45">
      <c r="A45" s="5">
        <v>41681.0</v>
      </c>
      <c r="B45" s="6">
        <v>2014.0</v>
      </c>
      <c r="C45" s="7" t="s">
        <v>68</v>
      </c>
      <c r="D45" s="7" t="s">
        <v>49</v>
      </c>
      <c r="E45" s="7" t="s">
        <v>28</v>
      </c>
      <c r="F45" s="6">
        <v>4172.0</v>
      </c>
      <c r="G45" s="6">
        <v>135498.75</v>
      </c>
      <c r="H45" s="6">
        <v>32.48</v>
      </c>
      <c r="I45" s="8">
        <v>33.51489932885906</v>
      </c>
      <c r="J45" s="6">
        <v>139824.16</v>
      </c>
      <c r="K45" s="6">
        <v>-4325.42</v>
      </c>
      <c r="L45" s="6">
        <v>-3.19</v>
      </c>
      <c r="M45" s="6">
        <f t="shared" si="1"/>
        <v>-1.03677373</v>
      </c>
      <c r="N45" s="6">
        <v>-3.19</v>
      </c>
      <c r="O45" s="7" t="s">
        <v>23</v>
      </c>
      <c r="P45" s="7" t="s">
        <v>69</v>
      </c>
      <c r="Q45" s="6">
        <v>-2.75</v>
      </c>
      <c r="R45" s="10">
        <v>-7101.17</v>
      </c>
      <c r="S45" s="10">
        <v>2775.75</v>
      </c>
      <c r="T45" s="9" t="s">
        <v>33</v>
      </c>
      <c r="U45" s="9"/>
      <c r="V45" s="9"/>
      <c r="W45" s="9"/>
      <c r="X45" s="9"/>
      <c r="Y45" s="9"/>
      <c r="Z45" s="9"/>
      <c r="AA45" s="9"/>
      <c r="AB45" s="9"/>
    </row>
    <row r="46">
      <c r="A46" s="5">
        <v>41682.0</v>
      </c>
      <c r="B46" s="6">
        <v>2014.0</v>
      </c>
      <c r="C46" s="7" t="s">
        <v>68</v>
      </c>
      <c r="D46" s="7" t="s">
        <v>50</v>
      </c>
      <c r="E46" s="7" t="s">
        <v>32</v>
      </c>
      <c r="F46" s="6">
        <v>5037.0</v>
      </c>
      <c r="G46" s="6">
        <v>163432.85</v>
      </c>
      <c r="H46" s="6">
        <v>32.45</v>
      </c>
      <c r="I46" s="8">
        <v>33.13348620210443</v>
      </c>
      <c r="J46" s="6">
        <v>166893.37</v>
      </c>
      <c r="K46" s="6">
        <v>-3460.52</v>
      </c>
      <c r="L46" s="6">
        <v>-2.12</v>
      </c>
      <c r="M46" s="6">
        <f t="shared" si="1"/>
        <v>-0.6870200516</v>
      </c>
      <c r="N46" s="6">
        <v>-2.12</v>
      </c>
      <c r="O46" s="7" t="s">
        <v>23</v>
      </c>
      <c r="P46" s="7" t="s">
        <v>69</v>
      </c>
      <c r="Q46" s="6">
        <v>-2.75</v>
      </c>
      <c r="R46" s="10">
        <v>-4325.42</v>
      </c>
      <c r="S46" s="10">
        <v>864.89</v>
      </c>
      <c r="T46" s="9" t="s">
        <v>33</v>
      </c>
      <c r="U46" s="9"/>
      <c r="V46" s="9"/>
      <c r="W46" s="9"/>
      <c r="X46" s="9"/>
      <c r="Y46" s="9"/>
      <c r="Z46" s="9"/>
      <c r="AA46" s="9"/>
      <c r="AB46" s="9"/>
    </row>
    <row r="47">
      <c r="A47" s="5">
        <v>41683.0</v>
      </c>
      <c r="B47" s="6">
        <v>2014.0</v>
      </c>
      <c r="C47" s="7" t="s">
        <v>68</v>
      </c>
      <c r="D47" s="7" t="s">
        <v>51</v>
      </c>
      <c r="E47" s="7" t="s">
        <v>35</v>
      </c>
      <c r="F47" s="6">
        <v>4259.0</v>
      </c>
      <c r="G47" s="6">
        <v>138291.63</v>
      </c>
      <c r="H47" s="6">
        <v>32.47</v>
      </c>
      <c r="I47" s="8">
        <v>33.11280347499413</v>
      </c>
      <c r="J47" s="6">
        <v>141027.43</v>
      </c>
      <c r="K47" s="6">
        <v>-2735.8</v>
      </c>
      <c r="L47" s="6">
        <v>-1.98</v>
      </c>
      <c r="M47" s="6">
        <f t="shared" si="1"/>
        <v>-0.6423573609</v>
      </c>
      <c r="N47" s="6">
        <v>-1.98</v>
      </c>
      <c r="O47" s="7" t="s">
        <v>23</v>
      </c>
      <c r="P47" s="7" t="s">
        <v>69</v>
      </c>
      <c r="Q47" s="6">
        <v>-2.75</v>
      </c>
      <c r="R47" s="10">
        <v>-3460.52</v>
      </c>
      <c r="S47" s="10">
        <v>724.72</v>
      </c>
      <c r="T47" s="9" t="s">
        <v>33</v>
      </c>
      <c r="U47" s="9"/>
      <c r="V47" s="9"/>
      <c r="W47" s="9"/>
      <c r="X47" s="9"/>
      <c r="Y47" s="9"/>
      <c r="Z47" s="9"/>
      <c r="AA47" s="9"/>
      <c r="AB47" s="9"/>
    </row>
    <row r="48">
      <c r="A48" s="5">
        <v>41684.0</v>
      </c>
      <c r="B48" s="6">
        <v>2014.0</v>
      </c>
      <c r="C48" s="7" t="s">
        <v>68</v>
      </c>
      <c r="D48" s="7" t="s">
        <v>52</v>
      </c>
      <c r="E48" s="7" t="s">
        <v>37</v>
      </c>
      <c r="F48" s="6">
        <v>10381.0</v>
      </c>
      <c r="G48" s="6">
        <v>336901.37</v>
      </c>
      <c r="H48" s="6">
        <v>32.45</v>
      </c>
      <c r="I48" s="8">
        <v>33.09121279260187</v>
      </c>
      <c r="J48" s="6">
        <v>343519.88</v>
      </c>
      <c r="K48" s="6">
        <v>-6618.5</v>
      </c>
      <c r="L48" s="6">
        <v>-1.96</v>
      </c>
      <c r="M48" s="6">
        <f t="shared" si="1"/>
        <v>-0.637559002</v>
      </c>
      <c r="N48" s="6">
        <v>-1.96</v>
      </c>
      <c r="O48" s="7" t="s">
        <v>23</v>
      </c>
      <c r="P48" s="7" t="s">
        <v>69</v>
      </c>
      <c r="Q48" s="6">
        <v>-2.75</v>
      </c>
      <c r="R48" s="10">
        <v>-2735.8</v>
      </c>
      <c r="S48" s="10">
        <v>-3882.7</v>
      </c>
      <c r="T48" s="9" t="s">
        <v>29</v>
      </c>
      <c r="U48" s="9"/>
      <c r="V48" s="9"/>
      <c r="W48" s="9"/>
      <c r="X48" s="9"/>
      <c r="Y48" s="9"/>
      <c r="Z48" s="9"/>
      <c r="AA48" s="9"/>
      <c r="AB48" s="9"/>
    </row>
    <row r="49">
      <c r="A49" s="5">
        <v>41685.0</v>
      </c>
      <c r="B49" s="6">
        <v>2014.0</v>
      </c>
      <c r="C49" s="7" t="s">
        <v>68</v>
      </c>
      <c r="D49" s="7" t="s">
        <v>53</v>
      </c>
      <c r="E49" s="7" t="s">
        <v>39</v>
      </c>
      <c r="F49" s="6">
        <v>11332.0</v>
      </c>
      <c r="G49" s="6">
        <v>367729.27</v>
      </c>
      <c r="H49" s="6">
        <v>32.45</v>
      </c>
      <c r="I49" s="8">
        <v>33.00155224144017</v>
      </c>
      <c r="J49" s="6">
        <v>373973.59</v>
      </c>
      <c r="K49" s="6">
        <v>-6244.33</v>
      </c>
      <c r="L49" s="6">
        <v>-1.7</v>
      </c>
      <c r="M49" s="6">
        <f t="shared" si="1"/>
        <v>-0.5510351218</v>
      </c>
      <c r="N49" s="6">
        <v>-1.7</v>
      </c>
      <c r="O49" s="7" t="s">
        <v>23</v>
      </c>
      <c r="P49" s="7" t="s">
        <v>69</v>
      </c>
      <c r="Q49" s="6">
        <v>-2.75</v>
      </c>
      <c r="R49" s="10">
        <v>-6618.5</v>
      </c>
      <c r="S49" s="10">
        <v>374.18</v>
      </c>
      <c r="T49" s="9" t="s">
        <v>33</v>
      </c>
      <c r="U49" s="9"/>
      <c r="V49" s="9"/>
      <c r="W49" s="9"/>
      <c r="X49" s="9"/>
      <c r="Y49" s="9"/>
      <c r="Z49" s="9"/>
      <c r="AA49" s="9"/>
      <c r="AB49" s="9"/>
    </row>
    <row r="50">
      <c r="A50" s="5">
        <v>41686.0</v>
      </c>
      <c r="B50" s="6">
        <v>2014.0</v>
      </c>
      <c r="C50" s="7" t="s">
        <v>68</v>
      </c>
      <c r="D50" s="7" t="s">
        <v>54</v>
      </c>
      <c r="E50" s="7" t="s">
        <v>41</v>
      </c>
      <c r="F50" s="6">
        <v>4127.0</v>
      </c>
      <c r="G50" s="6">
        <v>133913.84</v>
      </c>
      <c r="H50" s="6">
        <v>32.45</v>
      </c>
      <c r="I50" s="8">
        <v>33.14685728131815</v>
      </c>
      <c r="J50" s="6">
        <v>136797.08</v>
      </c>
      <c r="K50" s="6">
        <v>-2883.24</v>
      </c>
      <c r="L50" s="6">
        <v>-2.15</v>
      </c>
      <c r="M50" s="6">
        <f t="shared" si="1"/>
        <v>-0.6986285437</v>
      </c>
      <c r="N50" s="6">
        <v>-2.15</v>
      </c>
      <c r="O50" s="7" t="s">
        <v>23</v>
      </c>
      <c r="P50" s="7" t="s">
        <v>69</v>
      </c>
      <c r="Q50" s="6">
        <v>-2.75</v>
      </c>
      <c r="R50" s="10">
        <v>-6244.33</v>
      </c>
      <c r="S50" s="10">
        <v>3361.09</v>
      </c>
      <c r="T50" s="9" t="s">
        <v>33</v>
      </c>
      <c r="U50" s="9"/>
      <c r="V50" s="9"/>
      <c r="W50" s="9"/>
      <c r="X50" s="9"/>
      <c r="Y50" s="9"/>
      <c r="Z50" s="9"/>
      <c r="AA50" s="9"/>
      <c r="AB50" s="9"/>
    </row>
    <row r="51">
      <c r="A51" s="5">
        <v>41687.0</v>
      </c>
      <c r="B51" s="6">
        <v>2014.0</v>
      </c>
      <c r="C51" s="7" t="s">
        <v>68</v>
      </c>
      <c r="D51" s="7" t="s">
        <v>55</v>
      </c>
      <c r="E51" s="7" t="s">
        <v>22</v>
      </c>
      <c r="F51" s="6">
        <v>4649.0</v>
      </c>
      <c r="G51" s="6">
        <v>150800.35</v>
      </c>
      <c r="H51" s="6">
        <v>32.44</v>
      </c>
      <c r="I51" s="8">
        <v>32.88602064960206</v>
      </c>
      <c r="J51" s="6">
        <v>152887.11</v>
      </c>
      <c r="K51" s="6">
        <v>-2086.76</v>
      </c>
      <c r="L51" s="6">
        <v>-1.38</v>
      </c>
      <c r="M51" s="6">
        <f t="shared" si="1"/>
        <v>-0.4488621209</v>
      </c>
      <c r="N51" s="6">
        <v>-1.38</v>
      </c>
      <c r="O51" s="7" t="s">
        <v>23</v>
      </c>
      <c r="P51" s="7" t="s">
        <v>69</v>
      </c>
      <c r="Q51" s="6">
        <v>-2.75</v>
      </c>
      <c r="R51" s="10">
        <v>-2883.24</v>
      </c>
      <c r="S51" s="10">
        <v>796.48</v>
      </c>
      <c r="T51" s="9" t="s">
        <v>33</v>
      </c>
      <c r="U51" s="9"/>
      <c r="V51" s="9"/>
      <c r="W51" s="9"/>
      <c r="X51" s="9"/>
      <c r="Y51" s="9"/>
      <c r="Z51" s="9"/>
      <c r="AA51" s="9"/>
      <c r="AB51" s="9"/>
    </row>
    <row r="52">
      <c r="A52" s="5">
        <v>41688.0</v>
      </c>
      <c r="B52" s="6">
        <v>2014.0</v>
      </c>
      <c r="C52" s="7" t="s">
        <v>68</v>
      </c>
      <c r="D52" s="7" t="s">
        <v>56</v>
      </c>
      <c r="E52" s="7" t="s">
        <v>28</v>
      </c>
      <c r="F52" s="6">
        <v>1627.0</v>
      </c>
      <c r="G52" s="6">
        <v>55591.93</v>
      </c>
      <c r="H52" s="6">
        <v>34.17</v>
      </c>
      <c r="I52" s="8">
        <v>32.860012292563</v>
      </c>
      <c r="J52" s="6">
        <v>53463.24</v>
      </c>
      <c r="K52" s="6">
        <v>2128.69</v>
      </c>
      <c r="L52" s="6">
        <v>3.83</v>
      </c>
      <c r="M52" s="6">
        <f t="shared" si="1"/>
        <v>1.308352797</v>
      </c>
      <c r="N52" s="6">
        <v>3.83</v>
      </c>
      <c r="O52" s="7" t="s">
        <v>45</v>
      </c>
      <c r="P52" s="7" t="s">
        <v>46</v>
      </c>
      <c r="Q52" s="7" t="s">
        <v>25</v>
      </c>
      <c r="R52" s="10">
        <v>-2086.76</v>
      </c>
      <c r="S52" s="10">
        <v>4215.45</v>
      </c>
      <c r="T52" s="9" t="s">
        <v>33</v>
      </c>
      <c r="U52" s="9"/>
      <c r="V52" s="9"/>
      <c r="W52" s="9"/>
      <c r="X52" s="9"/>
      <c r="Y52" s="9"/>
      <c r="Z52" s="9"/>
      <c r="AA52" s="9"/>
      <c r="AB52" s="9"/>
    </row>
    <row r="53">
      <c r="A53" s="5">
        <v>41689.0</v>
      </c>
      <c r="B53" s="6">
        <v>2014.0</v>
      </c>
      <c r="C53" s="7" t="s">
        <v>68</v>
      </c>
      <c r="D53" s="7" t="s">
        <v>57</v>
      </c>
      <c r="E53" s="7" t="s">
        <v>32</v>
      </c>
      <c r="F53" s="6">
        <v>3281.0</v>
      </c>
      <c r="G53" s="6">
        <v>106427.19</v>
      </c>
      <c r="H53" s="6">
        <v>32.44</v>
      </c>
      <c r="I53" s="8">
        <v>32.83646449253276</v>
      </c>
      <c r="J53" s="6">
        <v>107736.44</v>
      </c>
      <c r="K53" s="6">
        <v>-1309.25</v>
      </c>
      <c r="L53" s="6">
        <v>-1.23</v>
      </c>
      <c r="M53" s="6">
        <f t="shared" si="1"/>
        <v>-0.3990399269</v>
      </c>
      <c r="N53" s="6">
        <v>-1.23</v>
      </c>
      <c r="O53" s="7" t="s">
        <v>23</v>
      </c>
      <c r="P53" s="7" t="s">
        <v>46</v>
      </c>
      <c r="Q53" s="7" t="s">
        <v>25</v>
      </c>
      <c r="R53" s="10">
        <v>2128.69</v>
      </c>
      <c r="S53" s="10">
        <v>-3437.94</v>
      </c>
      <c r="T53" s="9" t="s">
        <v>29</v>
      </c>
      <c r="U53" s="9"/>
      <c r="V53" s="9"/>
      <c r="W53" s="9"/>
      <c r="X53" s="9"/>
      <c r="Y53" s="9"/>
      <c r="Z53" s="9"/>
      <c r="AA53" s="9"/>
      <c r="AB53" s="9"/>
    </row>
    <row r="54">
      <c r="A54" s="5">
        <v>41690.0</v>
      </c>
      <c r="B54" s="6">
        <v>2014.0</v>
      </c>
      <c r="C54" s="7" t="s">
        <v>68</v>
      </c>
      <c r="D54" s="7" t="s">
        <v>58</v>
      </c>
      <c r="E54" s="7" t="s">
        <v>35</v>
      </c>
      <c r="F54" s="6">
        <v>2310.0</v>
      </c>
      <c r="G54" s="6">
        <v>78940.55</v>
      </c>
      <c r="H54" s="6">
        <v>34.17</v>
      </c>
      <c r="I54" s="8">
        <v>32.8720303030303</v>
      </c>
      <c r="J54" s="6">
        <v>75934.39</v>
      </c>
      <c r="K54" s="6">
        <v>3006.16</v>
      </c>
      <c r="L54" s="6">
        <v>3.81</v>
      </c>
      <c r="M54" s="6">
        <f t="shared" si="1"/>
        <v>1.301367965</v>
      </c>
      <c r="N54" s="6">
        <v>3.81</v>
      </c>
      <c r="O54" s="7" t="s">
        <v>45</v>
      </c>
      <c r="P54" s="7" t="s">
        <v>46</v>
      </c>
      <c r="Q54" s="7" t="s">
        <v>25</v>
      </c>
      <c r="R54" s="10">
        <v>-1309.25</v>
      </c>
      <c r="S54" s="10">
        <v>4315.41</v>
      </c>
      <c r="T54" s="9" t="s">
        <v>33</v>
      </c>
      <c r="U54" s="9"/>
      <c r="V54" s="9"/>
      <c r="W54" s="9"/>
      <c r="X54" s="9"/>
      <c r="Y54" s="9"/>
      <c r="Z54" s="9"/>
      <c r="AA54" s="9"/>
      <c r="AB54" s="9"/>
    </row>
    <row r="55">
      <c r="A55" s="5">
        <v>41691.0</v>
      </c>
      <c r="B55" s="6">
        <v>2014.0</v>
      </c>
      <c r="C55" s="7" t="s">
        <v>68</v>
      </c>
      <c r="D55" s="7" t="s">
        <v>59</v>
      </c>
      <c r="E55" s="7" t="s">
        <v>37</v>
      </c>
      <c r="F55" s="6">
        <v>9802.0</v>
      </c>
      <c r="G55" s="6">
        <v>317916.32</v>
      </c>
      <c r="H55" s="6">
        <v>32.43</v>
      </c>
      <c r="I55" s="8">
        <v>32.859599061416034</v>
      </c>
      <c r="J55" s="6">
        <v>322089.79</v>
      </c>
      <c r="K55" s="6">
        <v>-4173.47</v>
      </c>
      <c r="L55" s="6">
        <v>-1.31</v>
      </c>
      <c r="M55" s="6">
        <f t="shared" si="1"/>
        <v>-0.4257773924</v>
      </c>
      <c r="N55" s="6">
        <v>-1.31</v>
      </c>
      <c r="O55" s="7" t="s">
        <v>23</v>
      </c>
      <c r="P55" s="7" t="s">
        <v>70</v>
      </c>
      <c r="Q55" s="6">
        <v>-8.55</v>
      </c>
      <c r="R55" s="10">
        <v>3006.16</v>
      </c>
      <c r="S55" s="10">
        <v>-7179.63</v>
      </c>
      <c r="T55" s="9" t="s">
        <v>29</v>
      </c>
      <c r="U55" s="9"/>
      <c r="V55" s="9"/>
      <c r="W55" s="9"/>
      <c r="X55" s="9"/>
      <c r="Y55" s="9"/>
      <c r="Z55" s="9"/>
      <c r="AA55" s="9"/>
      <c r="AB55" s="9"/>
    </row>
    <row r="56">
      <c r="A56" s="5">
        <v>41692.0</v>
      </c>
      <c r="B56" s="6">
        <v>2014.0</v>
      </c>
      <c r="C56" s="7" t="s">
        <v>68</v>
      </c>
      <c r="D56" s="7" t="s">
        <v>60</v>
      </c>
      <c r="E56" s="7" t="s">
        <v>39</v>
      </c>
      <c r="F56" s="6">
        <v>9772.0</v>
      </c>
      <c r="G56" s="6">
        <v>309217.88</v>
      </c>
      <c r="H56" s="6">
        <v>31.64</v>
      </c>
      <c r="I56" s="8">
        <v>32.75858780188293</v>
      </c>
      <c r="J56" s="6">
        <v>320116.92</v>
      </c>
      <c r="K56" s="6">
        <v>-10899.05</v>
      </c>
      <c r="L56" s="6">
        <v>-3.52</v>
      </c>
      <c r="M56" s="6">
        <f t="shared" si="1"/>
        <v>-1.11533463</v>
      </c>
      <c r="N56" s="6">
        <v>-3.52</v>
      </c>
      <c r="O56" s="7" t="s">
        <v>23</v>
      </c>
      <c r="P56" s="7" t="s">
        <v>70</v>
      </c>
      <c r="Q56" s="6">
        <v>-8.55</v>
      </c>
      <c r="R56" s="10">
        <v>-4173.47</v>
      </c>
      <c r="S56" s="10">
        <v>-6725.58</v>
      </c>
      <c r="T56" s="9" t="s">
        <v>29</v>
      </c>
      <c r="U56" s="9"/>
      <c r="V56" s="9"/>
      <c r="W56" s="9"/>
      <c r="X56" s="9"/>
      <c r="Y56" s="9"/>
      <c r="Z56" s="9"/>
      <c r="AA56" s="9"/>
      <c r="AB56" s="9"/>
    </row>
    <row r="57">
      <c r="A57" s="5">
        <v>41693.0</v>
      </c>
      <c r="B57" s="6">
        <v>2014.0</v>
      </c>
      <c r="C57" s="7" t="s">
        <v>68</v>
      </c>
      <c r="D57" s="7" t="s">
        <v>61</v>
      </c>
      <c r="E57" s="7" t="s">
        <v>41</v>
      </c>
      <c r="F57" s="6">
        <v>4270.0</v>
      </c>
      <c r="G57" s="6">
        <v>138491.55</v>
      </c>
      <c r="H57" s="6">
        <v>32.43</v>
      </c>
      <c r="I57" s="8">
        <v>32.963138173302106</v>
      </c>
      <c r="J57" s="6">
        <v>140752.6</v>
      </c>
      <c r="K57" s="6">
        <v>-2261.05</v>
      </c>
      <c r="L57" s="6">
        <v>-1.63</v>
      </c>
      <c r="M57" s="6">
        <f t="shared" si="1"/>
        <v>-0.5295199063</v>
      </c>
      <c r="N57" s="6">
        <v>-1.63</v>
      </c>
      <c r="O57" s="7" t="s">
        <v>23</v>
      </c>
      <c r="P57" s="7" t="s">
        <v>70</v>
      </c>
      <c r="Q57" s="6">
        <v>-8.55</v>
      </c>
      <c r="R57" s="10">
        <v>-10899.05</v>
      </c>
      <c r="S57" s="10">
        <v>8638.0</v>
      </c>
      <c r="T57" s="9" t="s">
        <v>33</v>
      </c>
      <c r="U57" s="9"/>
      <c r="V57" s="9"/>
      <c r="W57" s="9"/>
      <c r="X57" s="9"/>
      <c r="Y57" s="9"/>
      <c r="Z57" s="9"/>
      <c r="AA57" s="9"/>
      <c r="AB57" s="9"/>
    </row>
    <row r="58">
      <c r="A58" s="5">
        <v>41694.0</v>
      </c>
      <c r="B58" s="6">
        <v>2014.0</v>
      </c>
      <c r="C58" s="7" t="s">
        <v>68</v>
      </c>
      <c r="D58" s="7" t="s">
        <v>62</v>
      </c>
      <c r="E58" s="7" t="s">
        <v>22</v>
      </c>
      <c r="F58" s="6">
        <v>4106.0</v>
      </c>
      <c r="G58" s="6">
        <v>133146.22</v>
      </c>
      <c r="H58" s="6">
        <v>32.43</v>
      </c>
      <c r="I58" s="8">
        <v>32.75825621042377</v>
      </c>
      <c r="J58" s="6">
        <v>134505.4</v>
      </c>
      <c r="K58" s="6">
        <v>-1359.18</v>
      </c>
      <c r="L58" s="6">
        <v>-1.02</v>
      </c>
      <c r="M58" s="6">
        <f t="shared" si="1"/>
        <v>-0.3310228933</v>
      </c>
      <c r="N58" s="6">
        <v>-1.02</v>
      </c>
      <c r="O58" s="7" t="s">
        <v>23</v>
      </c>
      <c r="P58" s="7" t="s">
        <v>70</v>
      </c>
      <c r="Q58" s="6">
        <v>-8.55</v>
      </c>
      <c r="R58" s="10">
        <v>-2261.05</v>
      </c>
      <c r="S58" s="10">
        <v>901.87</v>
      </c>
      <c r="T58" s="9" t="s">
        <v>33</v>
      </c>
      <c r="U58" s="9"/>
      <c r="V58" s="9"/>
      <c r="W58" s="9"/>
      <c r="X58" s="9"/>
      <c r="Y58" s="9"/>
      <c r="Z58" s="9"/>
      <c r="AA58" s="9"/>
      <c r="AB58" s="9"/>
    </row>
    <row r="59">
      <c r="A59" s="5">
        <v>41695.0</v>
      </c>
      <c r="B59" s="6">
        <v>2014.0</v>
      </c>
      <c r="C59" s="7" t="s">
        <v>68</v>
      </c>
      <c r="D59" s="7" t="s">
        <v>63</v>
      </c>
      <c r="E59" s="7" t="s">
        <v>28</v>
      </c>
      <c r="F59" s="6">
        <v>6937.0</v>
      </c>
      <c r="G59" s="6">
        <v>224994.66</v>
      </c>
      <c r="H59" s="6">
        <v>32.43</v>
      </c>
      <c r="I59" s="8">
        <v>32.801852385757535</v>
      </c>
      <c r="J59" s="6">
        <v>227546.45</v>
      </c>
      <c r="K59" s="6">
        <v>-2551.79</v>
      </c>
      <c r="L59" s="6">
        <v>-1.13</v>
      </c>
      <c r="M59" s="6">
        <f t="shared" si="1"/>
        <v>-0.3678520974</v>
      </c>
      <c r="N59" s="6">
        <v>-1.13</v>
      </c>
      <c r="O59" s="7" t="s">
        <v>23</v>
      </c>
      <c r="P59" s="7" t="s">
        <v>70</v>
      </c>
      <c r="Q59" s="6">
        <v>-8.55</v>
      </c>
      <c r="R59" s="10">
        <v>-1359.18</v>
      </c>
      <c r="S59" s="10">
        <v>-1192.61</v>
      </c>
      <c r="T59" s="9" t="s">
        <v>29</v>
      </c>
      <c r="U59" s="9"/>
      <c r="V59" s="9"/>
      <c r="W59" s="9"/>
      <c r="X59" s="9"/>
      <c r="Y59" s="9"/>
      <c r="Z59" s="9"/>
      <c r="AA59" s="9"/>
      <c r="AB59" s="9"/>
    </row>
    <row r="60">
      <c r="A60" s="5">
        <v>41696.0</v>
      </c>
      <c r="B60" s="6">
        <v>2014.0</v>
      </c>
      <c r="C60" s="7" t="s">
        <v>68</v>
      </c>
      <c r="D60" s="7" t="s">
        <v>64</v>
      </c>
      <c r="E60" s="7" t="s">
        <v>32</v>
      </c>
      <c r="F60" s="6">
        <v>6934.0</v>
      </c>
      <c r="G60" s="6">
        <v>225051.59</v>
      </c>
      <c r="H60" s="6">
        <v>32.46</v>
      </c>
      <c r="I60" s="8">
        <v>32.912336313815985</v>
      </c>
      <c r="J60" s="6">
        <v>228214.14</v>
      </c>
      <c r="K60" s="6">
        <v>-3162.55</v>
      </c>
      <c r="L60" s="6">
        <v>-1.41</v>
      </c>
      <c r="M60" s="6">
        <f t="shared" si="1"/>
        <v>-0.4560931641</v>
      </c>
      <c r="N60" s="6">
        <v>-1.41</v>
      </c>
      <c r="O60" s="7" t="s">
        <v>23</v>
      </c>
      <c r="P60" s="7" t="s">
        <v>70</v>
      </c>
      <c r="Q60" s="6">
        <v>-8.55</v>
      </c>
      <c r="R60" s="10">
        <v>-2551.79</v>
      </c>
      <c r="S60" s="10">
        <v>-610.76</v>
      </c>
      <c r="T60" s="9" t="s">
        <v>29</v>
      </c>
      <c r="U60" s="9"/>
      <c r="V60" s="9"/>
      <c r="W60" s="9"/>
      <c r="X60" s="9"/>
      <c r="Y60" s="9"/>
      <c r="Z60" s="9"/>
      <c r="AA60" s="9"/>
      <c r="AB60" s="9"/>
    </row>
    <row r="61">
      <c r="A61" s="5">
        <v>41697.0</v>
      </c>
      <c r="B61" s="6">
        <v>2014.0</v>
      </c>
      <c r="C61" s="7" t="s">
        <v>68</v>
      </c>
      <c r="D61" s="7" t="s">
        <v>65</v>
      </c>
      <c r="E61" s="7" t="s">
        <v>35</v>
      </c>
      <c r="F61" s="6">
        <v>11082.0</v>
      </c>
      <c r="G61" s="6">
        <v>344299.68</v>
      </c>
      <c r="H61" s="6">
        <v>31.07</v>
      </c>
      <c r="I61" s="8">
        <v>33.02072279371955</v>
      </c>
      <c r="J61" s="6">
        <v>365935.65</v>
      </c>
      <c r="K61" s="6">
        <v>-21635.97</v>
      </c>
      <c r="L61" s="6">
        <v>-6.28</v>
      </c>
      <c r="M61" s="6">
        <f t="shared" si="1"/>
        <v>-1.952352463</v>
      </c>
      <c r="N61" s="6">
        <v>-6.28</v>
      </c>
      <c r="O61" s="7" t="s">
        <v>23</v>
      </c>
      <c r="P61" s="7" t="s">
        <v>70</v>
      </c>
      <c r="Q61" s="6">
        <v>-8.55</v>
      </c>
      <c r="R61" s="10">
        <v>-3162.55</v>
      </c>
      <c r="S61" s="10">
        <v>-18473.42</v>
      </c>
      <c r="T61" s="9" t="s">
        <v>29</v>
      </c>
      <c r="U61" s="9"/>
      <c r="V61" s="9"/>
      <c r="W61" s="9"/>
      <c r="X61" s="9"/>
      <c r="Y61" s="9"/>
      <c r="Z61" s="9"/>
      <c r="AA61" s="9"/>
      <c r="AB61" s="9"/>
    </row>
    <row r="62">
      <c r="A62" s="5">
        <v>41698.0</v>
      </c>
      <c r="B62" s="6">
        <v>2014.0</v>
      </c>
      <c r="C62" s="7" t="s">
        <v>68</v>
      </c>
      <c r="D62" s="7" t="s">
        <v>66</v>
      </c>
      <c r="E62" s="7" t="s">
        <v>37</v>
      </c>
      <c r="F62" s="6">
        <v>20805.0</v>
      </c>
      <c r="G62" s="6">
        <v>661876.5</v>
      </c>
      <c r="H62" s="6">
        <v>31.81</v>
      </c>
      <c r="I62" s="8">
        <v>33.00441192021149</v>
      </c>
      <c r="J62" s="6">
        <v>686656.79</v>
      </c>
      <c r="K62" s="6">
        <v>-24780.29</v>
      </c>
      <c r="L62" s="6">
        <v>-3.74</v>
      </c>
      <c r="M62" s="6">
        <f t="shared" si="1"/>
        <v>-1.19107378</v>
      </c>
      <c r="N62" s="6">
        <v>-3.74</v>
      </c>
      <c r="O62" s="7" t="s">
        <v>23</v>
      </c>
      <c r="P62" s="7" t="s">
        <v>70</v>
      </c>
      <c r="Q62" s="6">
        <v>-8.55</v>
      </c>
      <c r="R62" s="10">
        <v>-21635.97</v>
      </c>
      <c r="S62" s="10">
        <v>-3144.32</v>
      </c>
      <c r="T62" s="9" t="s">
        <v>29</v>
      </c>
      <c r="U62" s="9"/>
      <c r="V62" s="9"/>
      <c r="W62" s="9"/>
      <c r="X62" s="9"/>
      <c r="Y62" s="9"/>
      <c r="Z62" s="9"/>
      <c r="AA62" s="9"/>
      <c r="AB62" s="9"/>
    </row>
    <row r="63">
      <c r="A63" s="5">
        <v>41699.0</v>
      </c>
      <c r="B63" s="6">
        <v>2014.0</v>
      </c>
      <c r="C63" s="7" t="s">
        <v>71</v>
      </c>
      <c r="D63" s="7" t="s">
        <v>31</v>
      </c>
      <c r="E63" s="7" t="s">
        <v>39</v>
      </c>
      <c r="F63" s="6">
        <v>26410.0</v>
      </c>
      <c r="G63" s="6">
        <v>846678.39</v>
      </c>
      <c r="H63" s="6">
        <v>32.06</v>
      </c>
      <c r="I63" s="8">
        <v>33.02088564937524</v>
      </c>
      <c r="J63" s="6">
        <v>872081.59</v>
      </c>
      <c r="K63" s="6">
        <v>-25403.2</v>
      </c>
      <c r="L63" s="6">
        <v>-3.0</v>
      </c>
      <c r="M63" s="6">
        <f t="shared" si="1"/>
        <v>-0.9618780765</v>
      </c>
      <c r="N63" s="6">
        <v>-3.0</v>
      </c>
      <c r="O63" s="7" t="s">
        <v>23</v>
      </c>
      <c r="P63" s="7" t="s">
        <v>70</v>
      </c>
      <c r="Q63" s="6">
        <v>-8.55</v>
      </c>
      <c r="R63" s="10">
        <v>-24780.29</v>
      </c>
      <c r="S63" s="10">
        <v>-622.91</v>
      </c>
      <c r="T63" s="9" t="s">
        <v>29</v>
      </c>
      <c r="U63" s="9"/>
      <c r="V63" s="9"/>
      <c r="W63" s="9"/>
      <c r="X63" s="9"/>
      <c r="Y63" s="9"/>
      <c r="Z63" s="9"/>
      <c r="AA63" s="9"/>
      <c r="AB63" s="9"/>
    </row>
    <row r="64">
      <c r="A64" s="5">
        <v>41700.0</v>
      </c>
      <c r="B64" s="6">
        <v>2014.0</v>
      </c>
      <c r="C64" s="7" t="s">
        <v>71</v>
      </c>
      <c r="D64" s="7" t="s">
        <v>34</v>
      </c>
      <c r="E64" s="7" t="s">
        <v>41</v>
      </c>
      <c r="F64" s="6">
        <v>15004.0</v>
      </c>
      <c r="G64" s="6">
        <v>478902.3</v>
      </c>
      <c r="H64" s="6">
        <v>31.92</v>
      </c>
      <c r="I64" s="8">
        <v>33.0281558251133</v>
      </c>
      <c r="J64" s="6">
        <v>495554.45</v>
      </c>
      <c r="K64" s="6">
        <v>-16652.15</v>
      </c>
      <c r="L64" s="6">
        <v>-3.48</v>
      </c>
      <c r="M64" s="6">
        <f t="shared" si="1"/>
        <v>-1.109847374</v>
      </c>
      <c r="N64" s="6">
        <v>-3.48</v>
      </c>
      <c r="O64" s="7" t="s">
        <v>23</v>
      </c>
      <c r="P64" s="7" t="s">
        <v>70</v>
      </c>
      <c r="Q64" s="6">
        <v>-8.55</v>
      </c>
      <c r="R64" s="10">
        <v>-25403.2</v>
      </c>
      <c r="S64" s="10">
        <v>8751.05</v>
      </c>
      <c r="T64" s="9" t="s">
        <v>33</v>
      </c>
      <c r="U64" s="9"/>
      <c r="V64" s="9"/>
      <c r="W64" s="9"/>
      <c r="X64" s="9"/>
      <c r="Y64" s="9"/>
      <c r="Z64" s="9"/>
      <c r="AA64" s="9"/>
      <c r="AB64" s="9"/>
    </row>
    <row r="65">
      <c r="A65" s="5">
        <v>41701.0</v>
      </c>
      <c r="B65" s="6">
        <v>2014.0</v>
      </c>
      <c r="C65" s="7" t="s">
        <v>71</v>
      </c>
      <c r="D65" s="7" t="s">
        <v>36</v>
      </c>
      <c r="E65" s="7" t="s">
        <v>22</v>
      </c>
      <c r="F65" s="6">
        <v>16884.0</v>
      </c>
      <c r="G65" s="6">
        <v>538827.2</v>
      </c>
      <c r="H65" s="6">
        <v>31.91</v>
      </c>
      <c r="I65" s="8">
        <v>33.02340322198531</v>
      </c>
      <c r="J65" s="6">
        <v>557567.14</v>
      </c>
      <c r="K65" s="6">
        <v>-18739.93</v>
      </c>
      <c r="L65" s="6">
        <v>-3.48</v>
      </c>
      <c r="M65" s="6">
        <f t="shared" si="1"/>
        <v>-1.109922412</v>
      </c>
      <c r="N65" s="6">
        <v>-3.48</v>
      </c>
      <c r="O65" s="7" t="s">
        <v>23</v>
      </c>
      <c r="P65" s="7" t="s">
        <v>70</v>
      </c>
      <c r="Q65" s="6">
        <v>-8.55</v>
      </c>
      <c r="R65" s="10">
        <v>-16652.15</v>
      </c>
      <c r="S65" s="10">
        <v>-2087.79</v>
      </c>
      <c r="T65" s="9" t="s">
        <v>29</v>
      </c>
      <c r="U65" s="9"/>
      <c r="V65" s="9"/>
      <c r="W65" s="9"/>
      <c r="X65" s="9"/>
      <c r="Y65" s="9"/>
      <c r="Z65" s="9"/>
      <c r="AA65" s="9"/>
      <c r="AB65" s="9"/>
    </row>
    <row r="66">
      <c r="A66" s="5">
        <v>41702.0</v>
      </c>
      <c r="B66" s="6">
        <v>2014.0</v>
      </c>
      <c r="C66" s="7" t="s">
        <v>71</v>
      </c>
      <c r="D66" s="7" t="s">
        <v>38</v>
      </c>
      <c r="E66" s="7" t="s">
        <v>28</v>
      </c>
      <c r="F66" s="6">
        <v>9789.0</v>
      </c>
      <c r="G66" s="6">
        <v>310346.12</v>
      </c>
      <c r="H66" s="6">
        <v>31.7</v>
      </c>
      <c r="I66" s="8">
        <v>33.029423843089184</v>
      </c>
      <c r="J66" s="6">
        <v>323325.03</v>
      </c>
      <c r="K66" s="6">
        <v>-12978.91</v>
      </c>
      <c r="L66" s="6">
        <v>-4.18</v>
      </c>
      <c r="M66" s="6">
        <f t="shared" si="1"/>
        <v>-1.325866789</v>
      </c>
      <c r="N66" s="6">
        <v>-4.18</v>
      </c>
      <c r="O66" s="7" t="s">
        <v>23</v>
      </c>
      <c r="P66" s="7" t="s">
        <v>70</v>
      </c>
      <c r="Q66" s="6">
        <v>-8.55</v>
      </c>
      <c r="R66" s="10">
        <v>-18739.93</v>
      </c>
      <c r="S66" s="10">
        <v>5761.03</v>
      </c>
      <c r="T66" s="9" t="s">
        <v>33</v>
      </c>
      <c r="U66" s="9"/>
      <c r="V66" s="9"/>
      <c r="W66" s="9"/>
      <c r="X66" s="9"/>
      <c r="Y66" s="9"/>
      <c r="Z66" s="9"/>
      <c r="AA66" s="9"/>
      <c r="AB66" s="9"/>
    </row>
    <row r="67">
      <c r="A67" s="5">
        <v>41703.0</v>
      </c>
      <c r="B67" s="6">
        <v>2014.0</v>
      </c>
      <c r="C67" s="7" t="s">
        <v>71</v>
      </c>
      <c r="D67" s="7" t="s">
        <v>40</v>
      </c>
      <c r="E67" s="7" t="s">
        <v>32</v>
      </c>
      <c r="F67" s="6">
        <v>8079.0</v>
      </c>
      <c r="G67" s="6">
        <v>256390.52</v>
      </c>
      <c r="H67" s="6">
        <v>31.74</v>
      </c>
      <c r="I67" s="8">
        <v>33.08683129100136</v>
      </c>
      <c r="J67" s="6">
        <v>267308.51</v>
      </c>
      <c r="K67" s="6">
        <v>-10917.98</v>
      </c>
      <c r="L67" s="6">
        <v>-4.26</v>
      </c>
      <c r="M67" s="6">
        <f t="shared" si="1"/>
        <v>-1.351402401</v>
      </c>
      <c r="N67" s="6">
        <v>-4.26</v>
      </c>
      <c r="O67" s="7" t="s">
        <v>23</v>
      </c>
      <c r="P67" s="7" t="s">
        <v>70</v>
      </c>
      <c r="Q67" s="6">
        <v>-8.55</v>
      </c>
      <c r="R67" s="10">
        <v>-12978.91</v>
      </c>
      <c r="S67" s="10">
        <v>2060.92</v>
      </c>
      <c r="T67" s="9" t="s">
        <v>33</v>
      </c>
      <c r="U67" s="9"/>
      <c r="V67" s="9"/>
      <c r="W67" s="9"/>
      <c r="X67" s="9"/>
      <c r="Y67" s="9"/>
      <c r="Z67" s="9"/>
      <c r="AA67" s="9"/>
      <c r="AB67" s="9"/>
    </row>
    <row r="68">
      <c r="A68" s="5">
        <v>41704.0</v>
      </c>
      <c r="B68" s="6">
        <v>2014.0</v>
      </c>
      <c r="C68" s="7" t="s">
        <v>71</v>
      </c>
      <c r="D68" s="7" t="s">
        <v>42</v>
      </c>
      <c r="E68" s="7" t="s">
        <v>35</v>
      </c>
      <c r="F68" s="6">
        <v>5072.0</v>
      </c>
      <c r="G68" s="6">
        <v>167803.66</v>
      </c>
      <c r="H68" s="6">
        <v>33.08</v>
      </c>
      <c r="I68" s="8">
        <v>33.14978115141956</v>
      </c>
      <c r="J68" s="6">
        <v>168135.69</v>
      </c>
      <c r="K68" s="6">
        <v>-332.03</v>
      </c>
      <c r="L68" s="6">
        <v>-0.2</v>
      </c>
      <c r="M68" s="6">
        <f t="shared" si="1"/>
        <v>-0.06546332808</v>
      </c>
      <c r="N68" s="6">
        <v>-0.2</v>
      </c>
      <c r="O68" s="7" t="s">
        <v>23</v>
      </c>
      <c r="P68" s="7" t="s">
        <v>70</v>
      </c>
      <c r="Q68" s="6">
        <v>-8.55</v>
      </c>
      <c r="R68" s="10">
        <v>-10917.98</v>
      </c>
      <c r="S68" s="10">
        <v>10585.95</v>
      </c>
      <c r="T68" s="9" t="s">
        <v>33</v>
      </c>
      <c r="U68" s="9"/>
      <c r="V68" s="9"/>
      <c r="W68" s="9"/>
      <c r="X68" s="9"/>
      <c r="Y68" s="9"/>
      <c r="Z68" s="9"/>
      <c r="AA68" s="9"/>
      <c r="AB68" s="9"/>
    </row>
    <row r="69">
      <c r="A69" s="5">
        <v>41705.0</v>
      </c>
      <c r="B69" s="6">
        <v>2014.0</v>
      </c>
      <c r="C69" s="7" t="s">
        <v>71</v>
      </c>
      <c r="D69" s="7" t="s">
        <v>43</v>
      </c>
      <c r="E69" s="7" t="s">
        <v>37</v>
      </c>
      <c r="F69" s="6">
        <v>14551.0</v>
      </c>
      <c r="G69" s="6">
        <v>465318.02</v>
      </c>
      <c r="H69" s="6">
        <v>31.98</v>
      </c>
      <c r="I69" s="8">
        <v>33.24682839667376</v>
      </c>
      <c r="J69" s="6">
        <v>483774.6</v>
      </c>
      <c r="K69" s="6">
        <v>-18456.58</v>
      </c>
      <c r="L69" s="6">
        <v>-3.97</v>
      </c>
      <c r="M69" s="6">
        <f t="shared" si="1"/>
        <v>-1.268406295</v>
      </c>
      <c r="N69" s="6">
        <v>-3.97</v>
      </c>
      <c r="O69" s="7" t="s">
        <v>23</v>
      </c>
      <c r="P69" s="7" t="s">
        <v>70</v>
      </c>
      <c r="Q69" s="6">
        <v>-8.55</v>
      </c>
      <c r="R69" s="10">
        <v>-332.03</v>
      </c>
      <c r="S69" s="10">
        <v>-18124.54</v>
      </c>
      <c r="T69" s="9" t="s">
        <v>29</v>
      </c>
      <c r="U69" s="9"/>
      <c r="V69" s="9"/>
      <c r="W69" s="9"/>
      <c r="X69" s="9"/>
      <c r="Y69" s="9"/>
      <c r="Z69" s="9"/>
      <c r="AA69" s="9"/>
      <c r="AB69" s="9"/>
    </row>
    <row r="70">
      <c r="A70" s="5">
        <v>41706.0</v>
      </c>
      <c r="B70" s="6">
        <v>2014.0</v>
      </c>
      <c r="C70" s="7" t="s">
        <v>71</v>
      </c>
      <c r="D70" s="7" t="s">
        <v>44</v>
      </c>
      <c r="E70" s="7" t="s">
        <v>39</v>
      </c>
      <c r="F70" s="6">
        <v>16262.0</v>
      </c>
      <c r="G70" s="6">
        <v>520146.75</v>
      </c>
      <c r="H70" s="6">
        <v>31.99</v>
      </c>
      <c r="I70" s="8">
        <v>33.29842331816504</v>
      </c>
      <c r="J70" s="6">
        <v>541498.96</v>
      </c>
      <c r="K70" s="6">
        <v>-21352.21</v>
      </c>
      <c r="L70" s="6">
        <v>-4.11</v>
      </c>
      <c r="M70" s="6">
        <f t="shared" si="1"/>
        <v>-1.313012545</v>
      </c>
      <c r="N70" s="6">
        <v>-4.11</v>
      </c>
      <c r="O70" s="7" t="s">
        <v>23</v>
      </c>
      <c r="P70" s="7" t="s">
        <v>70</v>
      </c>
      <c r="Q70" s="6">
        <v>-8.55</v>
      </c>
      <c r="R70" s="10">
        <v>-18456.58</v>
      </c>
      <c r="S70" s="10">
        <v>-2895.63</v>
      </c>
      <c r="T70" s="9" t="s">
        <v>29</v>
      </c>
      <c r="U70" s="9"/>
      <c r="V70" s="9"/>
      <c r="W70" s="9"/>
      <c r="X70" s="9"/>
      <c r="Y70" s="9"/>
      <c r="Z70" s="9"/>
      <c r="AA70" s="9"/>
      <c r="AB70" s="9"/>
    </row>
    <row r="71">
      <c r="A71" s="5">
        <v>41707.0</v>
      </c>
      <c r="B71" s="6">
        <v>2014.0</v>
      </c>
      <c r="C71" s="7" t="s">
        <v>71</v>
      </c>
      <c r="D71" s="7" t="s">
        <v>47</v>
      </c>
      <c r="E71" s="7" t="s">
        <v>41</v>
      </c>
      <c r="F71" s="6">
        <v>7014.0</v>
      </c>
      <c r="G71" s="6">
        <v>224699.25</v>
      </c>
      <c r="H71" s="6">
        <v>32.04</v>
      </c>
      <c r="I71" s="8">
        <v>33.30339036213288</v>
      </c>
      <c r="J71" s="6">
        <v>233589.98</v>
      </c>
      <c r="K71" s="6">
        <v>-8890.73</v>
      </c>
      <c r="L71" s="6">
        <v>-3.96</v>
      </c>
      <c r="M71" s="6">
        <f t="shared" si="1"/>
        <v>-1.267569147</v>
      </c>
      <c r="N71" s="6">
        <v>-3.96</v>
      </c>
      <c r="O71" s="7" t="s">
        <v>23</v>
      </c>
      <c r="P71" s="7" t="s">
        <v>70</v>
      </c>
      <c r="Q71" s="6">
        <v>-8.55</v>
      </c>
      <c r="R71" s="10">
        <v>-21352.21</v>
      </c>
      <c r="S71" s="10">
        <v>12461.48</v>
      </c>
      <c r="T71" s="9" t="s">
        <v>33</v>
      </c>
      <c r="U71" s="9"/>
      <c r="V71" s="9"/>
      <c r="W71" s="9"/>
      <c r="X71" s="9"/>
      <c r="Y71" s="9"/>
      <c r="Z71" s="9"/>
      <c r="AA71" s="9"/>
      <c r="AB71" s="9"/>
    </row>
    <row r="72">
      <c r="A72" s="5">
        <v>41708.0</v>
      </c>
      <c r="B72" s="6">
        <v>2014.0</v>
      </c>
      <c r="C72" s="7" t="s">
        <v>71</v>
      </c>
      <c r="D72" s="7" t="s">
        <v>48</v>
      </c>
      <c r="E72" s="7" t="s">
        <v>22</v>
      </c>
      <c r="F72" s="6">
        <v>8932.0</v>
      </c>
      <c r="G72" s="6">
        <v>286230.68</v>
      </c>
      <c r="H72" s="6">
        <v>32.05</v>
      </c>
      <c r="I72" s="8">
        <v>33.323207568293775</v>
      </c>
      <c r="J72" s="6">
        <v>297642.89</v>
      </c>
      <c r="K72" s="6">
        <v>-11412.21</v>
      </c>
      <c r="L72" s="6">
        <v>-3.99</v>
      </c>
      <c r="M72" s="6">
        <f t="shared" si="1"/>
        <v>-1.277676892</v>
      </c>
      <c r="N72" s="6">
        <v>-3.99</v>
      </c>
      <c r="O72" s="7" t="s">
        <v>23</v>
      </c>
      <c r="P72" s="7" t="s">
        <v>70</v>
      </c>
      <c r="Q72" s="6">
        <v>-8.55</v>
      </c>
      <c r="R72" s="10">
        <v>-8890.73</v>
      </c>
      <c r="S72" s="10">
        <v>-2521.48</v>
      </c>
      <c r="T72" s="9" t="s">
        <v>29</v>
      </c>
      <c r="U72" s="9"/>
      <c r="V72" s="9"/>
      <c r="W72" s="9"/>
      <c r="X72" s="9"/>
      <c r="Y72" s="9"/>
      <c r="Z72" s="9"/>
      <c r="AA72" s="9"/>
      <c r="AB72" s="9"/>
    </row>
    <row r="73">
      <c r="A73" s="5">
        <v>41709.0</v>
      </c>
      <c r="B73" s="6">
        <v>2014.0</v>
      </c>
      <c r="C73" s="7" t="s">
        <v>71</v>
      </c>
      <c r="D73" s="7" t="s">
        <v>49</v>
      </c>
      <c r="E73" s="7" t="s">
        <v>28</v>
      </c>
      <c r="F73" s="6">
        <v>5737.0</v>
      </c>
      <c r="G73" s="6">
        <v>187143.02</v>
      </c>
      <c r="H73" s="6">
        <v>32.62</v>
      </c>
      <c r="I73" s="8">
        <v>33.37964789959909</v>
      </c>
      <c r="J73" s="6">
        <v>191499.04</v>
      </c>
      <c r="K73" s="6">
        <v>-4356.02</v>
      </c>
      <c r="L73" s="6">
        <v>-2.33</v>
      </c>
      <c r="M73" s="6">
        <f t="shared" si="1"/>
        <v>-0.7592853408</v>
      </c>
      <c r="N73" s="6">
        <v>-2.33</v>
      </c>
      <c r="O73" s="7" t="s">
        <v>23</v>
      </c>
      <c r="P73" s="7" t="s">
        <v>70</v>
      </c>
      <c r="Q73" s="6">
        <v>-8.55</v>
      </c>
      <c r="R73" s="10">
        <v>-11412.21</v>
      </c>
      <c r="S73" s="10">
        <v>7056.19</v>
      </c>
      <c r="T73" s="9" t="s">
        <v>33</v>
      </c>
      <c r="U73" s="9"/>
      <c r="V73" s="9"/>
      <c r="W73" s="9"/>
      <c r="X73" s="9"/>
      <c r="Y73" s="9"/>
      <c r="Z73" s="9"/>
      <c r="AA73" s="9"/>
      <c r="AB73" s="9"/>
    </row>
    <row r="74">
      <c r="A74" s="5">
        <v>41710.0</v>
      </c>
      <c r="B74" s="6">
        <v>2014.0</v>
      </c>
      <c r="C74" s="7" t="s">
        <v>71</v>
      </c>
      <c r="D74" s="7" t="s">
        <v>50</v>
      </c>
      <c r="E74" s="7" t="s">
        <v>32</v>
      </c>
      <c r="F74" s="6">
        <v>5903.0</v>
      </c>
      <c r="G74" s="6">
        <v>191700.39</v>
      </c>
      <c r="H74" s="6">
        <v>32.48</v>
      </c>
      <c r="I74" s="8">
        <v>33.39885143147552</v>
      </c>
      <c r="J74" s="6">
        <v>197153.42</v>
      </c>
      <c r="K74" s="6">
        <v>-5453.03</v>
      </c>
      <c r="L74" s="6">
        <v>-2.84</v>
      </c>
      <c r="M74" s="6">
        <f t="shared" si="1"/>
        <v>-0.923772658</v>
      </c>
      <c r="N74" s="6">
        <v>-2.84</v>
      </c>
      <c r="O74" s="7" t="s">
        <v>23</v>
      </c>
      <c r="P74" s="7" t="s">
        <v>70</v>
      </c>
      <c r="Q74" s="6">
        <v>-8.55</v>
      </c>
      <c r="R74" s="10">
        <v>-4356.02</v>
      </c>
      <c r="S74" s="10">
        <v>-1097.01</v>
      </c>
      <c r="T74" s="9" t="s">
        <v>29</v>
      </c>
      <c r="U74" s="9"/>
      <c r="V74" s="9"/>
      <c r="W74" s="9"/>
      <c r="X74" s="9"/>
      <c r="Y74" s="9"/>
      <c r="Z74" s="9"/>
      <c r="AA74" s="9"/>
      <c r="AB74" s="9"/>
    </row>
    <row r="75">
      <c r="A75" s="5">
        <v>41711.0</v>
      </c>
      <c r="B75" s="6">
        <v>2014.0</v>
      </c>
      <c r="C75" s="7" t="s">
        <v>71</v>
      </c>
      <c r="D75" s="7" t="s">
        <v>51</v>
      </c>
      <c r="E75" s="7" t="s">
        <v>35</v>
      </c>
      <c r="F75" s="6">
        <v>5056.0</v>
      </c>
      <c r="G75" s="6">
        <v>164663.97</v>
      </c>
      <c r="H75" s="6">
        <v>32.57</v>
      </c>
      <c r="I75" s="8">
        <v>33.420721914556964</v>
      </c>
      <c r="J75" s="6">
        <v>168975.17</v>
      </c>
      <c r="K75" s="6">
        <v>-4311.21</v>
      </c>
      <c r="L75" s="6">
        <v>-2.62</v>
      </c>
      <c r="M75" s="6">
        <f t="shared" si="1"/>
        <v>-0.8526918513</v>
      </c>
      <c r="N75" s="6">
        <v>-2.62</v>
      </c>
      <c r="O75" s="7" t="s">
        <v>23</v>
      </c>
      <c r="P75" s="7" t="s">
        <v>70</v>
      </c>
      <c r="Q75" s="6">
        <v>-8.55</v>
      </c>
      <c r="R75" s="10">
        <v>-5453.03</v>
      </c>
      <c r="S75" s="10">
        <v>1141.83</v>
      </c>
      <c r="T75" s="9" t="s">
        <v>33</v>
      </c>
      <c r="U75" s="9"/>
      <c r="V75" s="9"/>
      <c r="W75" s="9"/>
      <c r="X75" s="9"/>
      <c r="Y75" s="9"/>
      <c r="Z75" s="9"/>
      <c r="AA75" s="9"/>
      <c r="AB75" s="9"/>
    </row>
    <row r="76">
      <c r="A76" s="5">
        <v>41712.0</v>
      </c>
      <c r="B76" s="6">
        <v>2014.0</v>
      </c>
      <c r="C76" s="7" t="s">
        <v>71</v>
      </c>
      <c r="D76" s="7" t="s">
        <v>52</v>
      </c>
      <c r="E76" s="7" t="s">
        <v>37</v>
      </c>
      <c r="F76" s="6">
        <v>12167.0</v>
      </c>
      <c r="G76" s="6">
        <v>395941.35</v>
      </c>
      <c r="H76" s="6">
        <v>32.54</v>
      </c>
      <c r="I76" s="8">
        <v>33.43189857812114</v>
      </c>
      <c r="J76" s="6">
        <v>406765.91</v>
      </c>
      <c r="K76" s="6">
        <v>-10824.57</v>
      </c>
      <c r="L76" s="6">
        <v>-2.73</v>
      </c>
      <c r="M76" s="6">
        <f t="shared" si="1"/>
        <v>-0.8896663105</v>
      </c>
      <c r="N76" s="6">
        <v>-2.73</v>
      </c>
      <c r="O76" s="7" t="s">
        <v>23</v>
      </c>
      <c r="P76" s="7" t="s">
        <v>70</v>
      </c>
      <c r="Q76" s="6">
        <v>-8.55</v>
      </c>
      <c r="R76" s="10">
        <v>-4311.21</v>
      </c>
      <c r="S76" s="10">
        <v>-6513.36</v>
      </c>
      <c r="T76" s="9" t="s">
        <v>29</v>
      </c>
      <c r="U76" s="9"/>
      <c r="V76" s="9"/>
      <c r="W76" s="9"/>
      <c r="X76" s="9"/>
      <c r="Y76" s="9"/>
      <c r="Z76" s="9"/>
      <c r="AA76" s="9"/>
      <c r="AB76" s="9"/>
    </row>
    <row r="77">
      <c r="A77" s="5">
        <v>41713.0</v>
      </c>
      <c r="B77" s="6">
        <v>2014.0</v>
      </c>
      <c r="C77" s="7" t="s">
        <v>71</v>
      </c>
      <c r="D77" s="7" t="s">
        <v>53</v>
      </c>
      <c r="E77" s="7" t="s">
        <v>39</v>
      </c>
      <c r="F77" s="6">
        <v>15971.0</v>
      </c>
      <c r="G77" s="6">
        <v>518183.21</v>
      </c>
      <c r="H77" s="6">
        <v>32.45</v>
      </c>
      <c r="I77" s="8">
        <v>33.459591760065116</v>
      </c>
      <c r="J77" s="6">
        <v>534383.14</v>
      </c>
      <c r="K77" s="6">
        <v>-16199.93</v>
      </c>
      <c r="L77" s="6">
        <v>-3.13</v>
      </c>
      <c r="M77" s="6">
        <f t="shared" si="1"/>
        <v>-1.014334106</v>
      </c>
      <c r="N77" s="6">
        <v>-3.13</v>
      </c>
      <c r="O77" s="7" t="s">
        <v>23</v>
      </c>
      <c r="P77" s="7" t="s">
        <v>70</v>
      </c>
      <c r="Q77" s="6">
        <v>-8.55</v>
      </c>
      <c r="R77" s="10">
        <v>-10824.57</v>
      </c>
      <c r="S77" s="10">
        <v>-5375.36</v>
      </c>
      <c r="T77" s="9" t="s">
        <v>29</v>
      </c>
      <c r="U77" s="9"/>
      <c r="V77" s="9"/>
      <c r="W77" s="9"/>
      <c r="X77" s="9"/>
      <c r="Y77" s="9"/>
      <c r="Z77" s="9"/>
      <c r="AA77" s="9"/>
      <c r="AB77" s="9"/>
    </row>
    <row r="78">
      <c r="A78" s="5">
        <v>41714.0</v>
      </c>
      <c r="B78" s="6">
        <v>2014.0</v>
      </c>
      <c r="C78" s="7" t="s">
        <v>71</v>
      </c>
      <c r="D78" s="7" t="s">
        <v>54</v>
      </c>
      <c r="E78" s="7" t="s">
        <v>41</v>
      </c>
      <c r="F78" s="6">
        <v>6968.0</v>
      </c>
      <c r="G78" s="6">
        <v>226617.95</v>
      </c>
      <c r="H78" s="6">
        <v>32.52</v>
      </c>
      <c r="I78" s="8">
        <v>33.46600172215844</v>
      </c>
      <c r="J78" s="6">
        <v>233191.1</v>
      </c>
      <c r="K78" s="6">
        <v>-6573.15</v>
      </c>
      <c r="L78" s="6">
        <v>-2.9</v>
      </c>
      <c r="M78" s="6">
        <f t="shared" si="1"/>
        <v>-0.9433338117</v>
      </c>
      <c r="N78" s="6">
        <v>-2.9</v>
      </c>
      <c r="O78" s="7" t="s">
        <v>23</v>
      </c>
      <c r="P78" s="7" t="s">
        <v>70</v>
      </c>
      <c r="Q78" s="6">
        <v>-8.55</v>
      </c>
      <c r="R78" s="10">
        <v>-16199.93</v>
      </c>
      <c r="S78" s="10">
        <v>9626.78</v>
      </c>
      <c r="T78" s="9" t="s">
        <v>33</v>
      </c>
      <c r="U78" s="9"/>
      <c r="V78" s="9"/>
      <c r="W78" s="9"/>
      <c r="X78" s="9"/>
      <c r="Y78" s="9"/>
      <c r="Z78" s="9"/>
      <c r="AA78" s="9"/>
      <c r="AB78" s="9"/>
    </row>
    <row r="79">
      <c r="A79" s="5">
        <v>41715.0</v>
      </c>
      <c r="B79" s="6">
        <v>2014.0</v>
      </c>
      <c r="C79" s="7" t="s">
        <v>71</v>
      </c>
      <c r="D79" s="7" t="s">
        <v>55</v>
      </c>
      <c r="E79" s="7" t="s">
        <v>22</v>
      </c>
      <c r="F79" s="6">
        <v>7494.0</v>
      </c>
      <c r="G79" s="6">
        <v>243707.87</v>
      </c>
      <c r="H79" s="6">
        <v>32.52</v>
      </c>
      <c r="I79" s="8">
        <v>33.466002135041364</v>
      </c>
      <c r="J79" s="6">
        <v>250794.22</v>
      </c>
      <c r="K79" s="6">
        <v>-7086.35</v>
      </c>
      <c r="L79" s="6">
        <v>-2.91</v>
      </c>
      <c r="M79" s="6">
        <f t="shared" si="1"/>
        <v>-0.9456031492</v>
      </c>
      <c r="N79" s="6">
        <v>-2.91</v>
      </c>
      <c r="O79" s="7" t="s">
        <v>23</v>
      </c>
      <c r="P79" s="7" t="s">
        <v>70</v>
      </c>
      <c r="Q79" s="6">
        <v>-8.55</v>
      </c>
      <c r="R79" s="10">
        <v>-6573.15</v>
      </c>
      <c r="S79" s="10">
        <v>-513.2</v>
      </c>
      <c r="T79" s="9" t="s">
        <v>29</v>
      </c>
      <c r="U79" s="9"/>
      <c r="V79" s="9"/>
      <c r="W79" s="9"/>
      <c r="X79" s="9"/>
      <c r="Y79" s="9"/>
      <c r="Z79" s="9"/>
      <c r="AA79" s="9"/>
      <c r="AB79" s="9"/>
    </row>
    <row r="80">
      <c r="A80" s="5">
        <v>41716.0</v>
      </c>
      <c r="B80" s="6">
        <v>2014.0</v>
      </c>
      <c r="C80" s="7" t="s">
        <v>71</v>
      </c>
      <c r="D80" s="7" t="s">
        <v>56</v>
      </c>
      <c r="E80" s="7" t="s">
        <v>28</v>
      </c>
      <c r="F80" s="6">
        <v>2707.0</v>
      </c>
      <c r="G80" s="6">
        <v>94849.74</v>
      </c>
      <c r="H80" s="6">
        <v>35.04</v>
      </c>
      <c r="I80" s="8">
        <v>33.45828961950499</v>
      </c>
      <c r="J80" s="6">
        <v>90571.59</v>
      </c>
      <c r="K80" s="6">
        <v>4278.15</v>
      </c>
      <c r="L80" s="6">
        <v>4.51</v>
      </c>
      <c r="M80" s="6">
        <f t="shared" si="1"/>
        <v>1.58040266</v>
      </c>
      <c r="N80" s="6">
        <v>4.51</v>
      </c>
      <c r="O80" s="7" t="s">
        <v>45</v>
      </c>
      <c r="P80" s="7" t="s">
        <v>46</v>
      </c>
      <c r="Q80" s="7" t="s">
        <v>25</v>
      </c>
      <c r="R80" s="10">
        <v>-7086.35</v>
      </c>
      <c r="S80" s="10">
        <v>11364.5</v>
      </c>
      <c r="T80" s="9" t="s">
        <v>33</v>
      </c>
      <c r="U80" s="9"/>
      <c r="V80" s="9"/>
      <c r="W80" s="9"/>
      <c r="X80" s="9"/>
      <c r="Y80" s="9"/>
      <c r="Z80" s="9"/>
      <c r="AA80" s="9"/>
      <c r="AB80" s="9"/>
    </row>
    <row r="81">
      <c r="A81" s="5">
        <v>41717.0</v>
      </c>
      <c r="B81" s="6">
        <v>2014.0</v>
      </c>
      <c r="C81" s="7" t="s">
        <v>71</v>
      </c>
      <c r="D81" s="7" t="s">
        <v>57</v>
      </c>
      <c r="E81" s="7" t="s">
        <v>32</v>
      </c>
      <c r="F81" s="6">
        <v>2637.0</v>
      </c>
      <c r="G81" s="6">
        <v>92386.78</v>
      </c>
      <c r="H81" s="6">
        <v>35.03</v>
      </c>
      <c r="I81" s="8">
        <v>33.468274554417896</v>
      </c>
      <c r="J81" s="6">
        <v>88255.84</v>
      </c>
      <c r="K81" s="6">
        <v>4130.94</v>
      </c>
      <c r="L81" s="6">
        <v>4.47</v>
      </c>
      <c r="M81" s="6">
        <f t="shared" si="1"/>
        <v>1.566530148</v>
      </c>
      <c r="N81" s="6">
        <v>4.47</v>
      </c>
      <c r="O81" s="7" t="s">
        <v>45</v>
      </c>
      <c r="P81" s="7" t="s">
        <v>46</v>
      </c>
      <c r="Q81" s="7" t="s">
        <v>25</v>
      </c>
      <c r="R81" s="10">
        <v>4278.15</v>
      </c>
      <c r="S81" s="10">
        <v>-147.21</v>
      </c>
      <c r="T81" s="9" t="s">
        <v>29</v>
      </c>
      <c r="U81" s="9"/>
      <c r="V81" s="9"/>
      <c r="W81" s="9"/>
      <c r="X81" s="9"/>
      <c r="Y81" s="9"/>
      <c r="Z81" s="9"/>
      <c r="AA81" s="9"/>
      <c r="AB81" s="9"/>
    </row>
    <row r="82">
      <c r="A82" s="5">
        <v>41718.0</v>
      </c>
      <c r="B82" s="6">
        <v>2014.0</v>
      </c>
      <c r="C82" s="7" t="s">
        <v>71</v>
      </c>
      <c r="D82" s="7" t="s">
        <v>58</v>
      </c>
      <c r="E82" s="7" t="s">
        <v>35</v>
      </c>
      <c r="F82" s="6">
        <v>5149.0</v>
      </c>
      <c r="G82" s="6">
        <v>180394.83</v>
      </c>
      <c r="H82" s="6">
        <v>35.03</v>
      </c>
      <c r="I82" s="8">
        <v>33.47141192464556</v>
      </c>
      <c r="J82" s="6">
        <v>172344.3</v>
      </c>
      <c r="K82" s="6">
        <v>8050.52</v>
      </c>
      <c r="L82" s="6">
        <v>4.46</v>
      </c>
      <c r="M82" s="6">
        <f t="shared" si="1"/>
        <v>1.563511361</v>
      </c>
      <c r="N82" s="6">
        <v>4.46</v>
      </c>
      <c r="O82" s="7" t="s">
        <v>45</v>
      </c>
      <c r="P82" s="7" t="s">
        <v>46</v>
      </c>
      <c r="Q82" s="7" t="s">
        <v>25</v>
      </c>
      <c r="R82" s="10">
        <v>4130.94</v>
      </c>
      <c r="S82" s="10">
        <v>3919.58</v>
      </c>
      <c r="T82" s="9" t="s">
        <v>33</v>
      </c>
      <c r="U82" s="9"/>
      <c r="V82" s="9"/>
      <c r="W82" s="9"/>
      <c r="X82" s="9"/>
      <c r="Y82" s="9"/>
      <c r="Z82" s="9"/>
      <c r="AA82" s="9"/>
      <c r="AB82" s="9"/>
    </row>
    <row r="83">
      <c r="A83" s="5">
        <v>41719.0</v>
      </c>
      <c r="B83" s="6">
        <v>2014.0</v>
      </c>
      <c r="C83" s="7" t="s">
        <v>71</v>
      </c>
      <c r="D83" s="7" t="s">
        <v>59</v>
      </c>
      <c r="E83" s="7" t="s">
        <v>37</v>
      </c>
      <c r="F83" s="6">
        <v>5735.0</v>
      </c>
      <c r="G83" s="6">
        <v>200939.69</v>
      </c>
      <c r="H83" s="6">
        <v>35.04</v>
      </c>
      <c r="I83" s="8">
        <v>33.481977332170885</v>
      </c>
      <c r="J83" s="6">
        <v>192019.14</v>
      </c>
      <c r="K83" s="6">
        <v>8920.55</v>
      </c>
      <c r="L83" s="6">
        <v>4.44</v>
      </c>
      <c r="M83" s="6">
        <f t="shared" si="1"/>
        <v>1.555457716</v>
      </c>
      <c r="N83" s="6">
        <v>4.44</v>
      </c>
      <c r="O83" s="7" t="s">
        <v>45</v>
      </c>
      <c r="P83" s="7" t="s">
        <v>46</v>
      </c>
      <c r="Q83" s="7" t="s">
        <v>25</v>
      </c>
      <c r="R83" s="10">
        <v>8050.52</v>
      </c>
      <c r="S83" s="10">
        <v>870.02</v>
      </c>
      <c r="T83" s="9" t="s">
        <v>33</v>
      </c>
      <c r="U83" s="9"/>
      <c r="V83" s="9"/>
      <c r="W83" s="9"/>
      <c r="X83" s="9"/>
      <c r="Y83" s="9"/>
      <c r="Z83" s="9"/>
      <c r="AA83" s="9"/>
      <c r="AB83" s="9"/>
    </row>
    <row r="84">
      <c r="A84" s="5">
        <v>41720.0</v>
      </c>
      <c r="B84" s="6">
        <v>2014.0</v>
      </c>
      <c r="C84" s="7" t="s">
        <v>71</v>
      </c>
      <c r="D84" s="7" t="s">
        <v>60</v>
      </c>
      <c r="E84" s="7" t="s">
        <v>39</v>
      </c>
      <c r="F84" s="6">
        <v>4936.0</v>
      </c>
      <c r="G84" s="6">
        <v>172953.92</v>
      </c>
      <c r="H84" s="6">
        <v>35.04</v>
      </c>
      <c r="I84" s="8">
        <v>33.468660858995136</v>
      </c>
      <c r="J84" s="6">
        <v>165201.31</v>
      </c>
      <c r="K84" s="6">
        <v>7752.62</v>
      </c>
      <c r="L84" s="6">
        <v>4.48</v>
      </c>
      <c r="M84" s="6">
        <f t="shared" si="1"/>
        <v>1.570628039</v>
      </c>
      <c r="N84" s="6">
        <v>4.48</v>
      </c>
      <c r="O84" s="7" t="s">
        <v>45</v>
      </c>
      <c r="P84" s="7" t="s">
        <v>46</v>
      </c>
      <c r="Q84" s="7" t="s">
        <v>25</v>
      </c>
      <c r="R84" s="10">
        <v>8920.55</v>
      </c>
      <c r="S84" s="10">
        <v>-1167.93</v>
      </c>
      <c r="T84" s="9" t="s">
        <v>29</v>
      </c>
      <c r="U84" s="9"/>
      <c r="V84" s="9"/>
      <c r="W84" s="9"/>
      <c r="X84" s="9"/>
      <c r="Y84" s="9"/>
      <c r="Z84" s="9"/>
      <c r="AA84" s="9"/>
      <c r="AB84" s="9"/>
    </row>
    <row r="85">
      <c r="A85" s="5">
        <v>41721.0</v>
      </c>
      <c r="B85" s="6">
        <v>2014.0</v>
      </c>
      <c r="C85" s="7" t="s">
        <v>71</v>
      </c>
      <c r="D85" s="7" t="s">
        <v>61</v>
      </c>
      <c r="E85" s="7" t="s">
        <v>41</v>
      </c>
      <c r="F85" s="6">
        <v>2003.0</v>
      </c>
      <c r="G85" s="6">
        <v>70194.8</v>
      </c>
      <c r="H85" s="6">
        <v>35.04</v>
      </c>
      <c r="I85" s="8">
        <v>33.48058911632551</v>
      </c>
      <c r="J85" s="6">
        <v>67061.62</v>
      </c>
      <c r="K85" s="6">
        <v>3133.18</v>
      </c>
      <c r="L85" s="6">
        <v>4.46</v>
      </c>
      <c r="M85" s="6">
        <f t="shared" si="1"/>
        <v>1.564243635</v>
      </c>
      <c r="N85" s="6">
        <v>4.46</v>
      </c>
      <c r="O85" s="7" t="s">
        <v>45</v>
      </c>
      <c r="P85" s="7" t="s">
        <v>46</v>
      </c>
      <c r="Q85" s="7" t="s">
        <v>25</v>
      </c>
      <c r="R85" s="10">
        <v>7752.62</v>
      </c>
      <c r="S85" s="10">
        <v>-4619.44</v>
      </c>
      <c r="T85" s="9" t="s">
        <v>29</v>
      </c>
      <c r="U85" s="9"/>
      <c r="V85" s="9"/>
      <c r="W85" s="9"/>
      <c r="X85" s="9"/>
      <c r="Y85" s="9"/>
      <c r="Z85" s="9"/>
      <c r="AA85" s="9"/>
      <c r="AB85" s="9"/>
    </row>
    <row r="86">
      <c r="A86" s="5">
        <v>41722.0</v>
      </c>
      <c r="B86" s="6">
        <v>2014.0</v>
      </c>
      <c r="C86" s="7" t="s">
        <v>71</v>
      </c>
      <c r="D86" s="7" t="s">
        <v>62</v>
      </c>
      <c r="E86" s="7" t="s">
        <v>22</v>
      </c>
      <c r="F86" s="6">
        <v>2323.0</v>
      </c>
      <c r="G86" s="6">
        <v>81378.21</v>
      </c>
      <c r="H86" s="6">
        <v>35.03</v>
      </c>
      <c r="I86" s="8">
        <v>33.449698665518724</v>
      </c>
      <c r="J86" s="6">
        <v>77703.65</v>
      </c>
      <c r="K86" s="6">
        <v>3674.57</v>
      </c>
      <c r="L86" s="6">
        <v>4.52</v>
      </c>
      <c r="M86" s="6">
        <f t="shared" si="1"/>
        <v>1.581820921</v>
      </c>
      <c r="N86" s="6">
        <v>4.52</v>
      </c>
      <c r="O86" s="7" t="s">
        <v>45</v>
      </c>
      <c r="P86" s="7" t="s">
        <v>46</v>
      </c>
      <c r="Q86" s="7" t="s">
        <v>25</v>
      </c>
      <c r="R86" s="10">
        <v>3133.18</v>
      </c>
      <c r="S86" s="10">
        <v>541.39</v>
      </c>
      <c r="T86" s="9" t="s">
        <v>33</v>
      </c>
      <c r="U86" s="9"/>
      <c r="V86" s="9"/>
      <c r="W86" s="9"/>
      <c r="X86" s="9"/>
      <c r="Y86" s="9"/>
      <c r="Z86" s="9"/>
      <c r="AA86" s="9"/>
      <c r="AB86" s="9"/>
    </row>
    <row r="87">
      <c r="A87" s="5">
        <v>41723.0</v>
      </c>
      <c r="B87" s="6">
        <v>2014.0</v>
      </c>
      <c r="C87" s="7" t="s">
        <v>71</v>
      </c>
      <c r="D87" s="7" t="s">
        <v>63</v>
      </c>
      <c r="E87" s="7" t="s">
        <v>28</v>
      </c>
      <c r="F87" s="6">
        <v>3822.0</v>
      </c>
      <c r="G87" s="6">
        <v>130227.01</v>
      </c>
      <c r="H87" s="6">
        <v>34.07</v>
      </c>
      <c r="I87" s="8">
        <v>33.33183935112506</v>
      </c>
      <c r="J87" s="6">
        <v>127394.29</v>
      </c>
      <c r="K87" s="6">
        <v>2832.73</v>
      </c>
      <c r="L87" s="6">
        <v>2.18</v>
      </c>
      <c r="M87" s="6">
        <f t="shared" si="1"/>
        <v>0.7411643119</v>
      </c>
      <c r="N87" s="6">
        <v>2.18</v>
      </c>
      <c r="O87" s="7" t="s">
        <v>45</v>
      </c>
      <c r="P87" s="7" t="s">
        <v>46</v>
      </c>
      <c r="Q87" s="7" t="s">
        <v>25</v>
      </c>
      <c r="R87" s="10">
        <v>3674.57</v>
      </c>
      <c r="S87" s="10">
        <v>-841.84</v>
      </c>
      <c r="T87" s="9" t="s">
        <v>29</v>
      </c>
      <c r="U87" s="9"/>
      <c r="V87" s="9"/>
      <c r="W87" s="9"/>
      <c r="X87" s="9"/>
      <c r="Y87" s="9"/>
      <c r="Z87" s="9"/>
      <c r="AA87" s="9"/>
      <c r="AB87" s="9"/>
    </row>
    <row r="88">
      <c r="A88" s="5">
        <v>41724.0</v>
      </c>
      <c r="B88" s="6">
        <v>2014.0</v>
      </c>
      <c r="C88" s="7" t="s">
        <v>71</v>
      </c>
      <c r="D88" s="7" t="s">
        <v>64</v>
      </c>
      <c r="E88" s="7" t="s">
        <v>32</v>
      </c>
      <c r="F88" s="6">
        <v>3666.0</v>
      </c>
      <c r="G88" s="6">
        <v>125310.04</v>
      </c>
      <c r="H88" s="6">
        <v>34.18</v>
      </c>
      <c r="I88" s="8">
        <v>33.3538188761593</v>
      </c>
      <c r="J88" s="6">
        <v>122275.1</v>
      </c>
      <c r="K88" s="6">
        <v>3034.93</v>
      </c>
      <c r="L88" s="6">
        <v>2.42</v>
      </c>
      <c r="M88" s="6">
        <f t="shared" si="1"/>
        <v>0.8278587016</v>
      </c>
      <c r="N88" s="6">
        <v>2.42</v>
      </c>
      <c r="O88" s="7" t="s">
        <v>45</v>
      </c>
      <c r="P88" s="7" t="s">
        <v>46</v>
      </c>
      <c r="Q88" s="7" t="s">
        <v>25</v>
      </c>
      <c r="R88" s="10">
        <v>2832.73</v>
      </c>
      <c r="S88" s="10">
        <v>202.21</v>
      </c>
      <c r="T88" s="9" t="s">
        <v>33</v>
      </c>
      <c r="U88" s="9"/>
      <c r="V88" s="9"/>
      <c r="W88" s="9"/>
      <c r="X88" s="9"/>
      <c r="Y88" s="9"/>
      <c r="Z88" s="9"/>
      <c r="AA88" s="9"/>
      <c r="AB88" s="9"/>
    </row>
    <row r="89">
      <c r="A89" s="5">
        <v>41725.0</v>
      </c>
      <c r="B89" s="6">
        <v>2014.0</v>
      </c>
      <c r="C89" s="7" t="s">
        <v>71</v>
      </c>
      <c r="D89" s="7" t="s">
        <v>65</v>
      </c>
      <c r="E89" s="7" t="s">
        <v>35</v>
      </c>
      <c r="F89" s="6">
        <v>3543.0</v>
      </c>
      <c r="G89" s="6">
        <v>119452.34</v>
      </c>
      <c r="H89" s="6">
        <v>33.72</v>
      </c>
      <c r="I89" s="8">
        <v>33.35777025119955</v>
      </c>
      <c r="J89" s="6">
        <v>118186.58</v>
      </c>
      <c r="K89" s="6">
        <v>1265.76</v>
      </c>
      <c r="L89" s="6">
        <v>1.06</v>
      </c>
      <c r="M89" s="6">
        <f t="shared" si="1"/>
        <v>0.3572565622</v>
      </c>
      <c r="N89" s="6">
        <v>1.06</v>
      </c>
      <c r="O89" s="7" t="s">
        <v>45</v>
      </c>
      <c r="P89" s="7" t="s">
        <v>46</v>
      </c>
      <c r="Q89" s="7" t="s">
        <v>25</v>
      </c>
      <c r="R89" s="10">
        <v>3034.93</v>
      </c>
      <c r="S89" s="10">
        <v>-1769.17</v>
      </c>
      <c r="T89" s="9" t="s">
        <v>29</v>
      </c>
      <c r="U89" s="9"/>
      <c r="V89" s="9"/>
      <c r="W89" s="9"/>
      <c r="X89" s="9"/>
      <c r="Y89" s="9"/>
      <c r="Z89" s="9"/>
      <c r="AA89" s="9"/>
      <c r="AB89" s="9"/>
    </row>
    <row r="90">
      <c r="A90" s="5">
        <v>41726.0</v>
      </c>
      <c r="B90" s="6">
        <v>2014.0</v>
      </c>
      <c r="C90" s="7" t="s">
        <v>71</v>
      </c>
      <c r="D90" s="7" t="s">
        <v>66</v>
      </c>
      <c r="E90" s="7" t="s">
        <v>37</v>
      </c>
      <c r="F90" s="6">
        <v>8130.0</v>
      </c>
      <c r="G90" s="6">
        <v>276174.77</v>
      </c>
      <c r="H90" s="6">
        <v>33.97</v>
      </c>
      <c r="I90" s="8">
        <v>33.40109471094711</v>
      </c>
      <c r="J90" s="6">
        <v>271550.9</v>
      </c>
      <c r="K90" s="6">
        <v>4623.87</v>
      </c>
      <c r="L90" s="6">
        <v>1.67</v>
      </c>
      <c r="M90" s="6">
        <f t="shared" si="1"/>
        <v>0.5687416974</v>
      </c>
      <c r="N90" s="6">
        <v>1.67</v>
      </c>
      <c r="O90" s="7" t="s">
        <v>45</v>
      </c>
      <c r="P90" s="7" t="s">
        <v>46</v>
      </c>
      <c r="Q90" s="7" t="s">
        <v>25</v>
      </c>
      <c r="R90" s="10">
        <v>1265.76</v>
      </c>
      <c r="S90" s="10">
        <v>3358.11</v>
      </c>
      <c r="T90" s="9" t="s">
        <v>33</v>
      </c>
      <c r="U90" s="9"/>
      <c r="V90" s="9"/>
      <c r="W90" s="9"/>
      <c r="X90" s="9"/>
      <c r="Y90" s="9"/>
      <c r="Z90" s="9"/>
      <c r="AA90" s="9"/>
      <c r="AB90" s="9"/>
    </row>
    <row r="91">
      <c r="A91" s="5">
        <v>41727.0</v>
      </c>
      <c r="B91" s="6">
        <v>2014.0</v>
      </c>
      <c r="C91" s="7" t="s">
        <v>71</v>
      </c>
      <c r="D91" s="7" t="s">
        <v>67</v>
      </c>
      <c r="E91" s="7" t="s">
        <v>39</v>
      </c>
      <c r="F91" s="6">
        <v>10518.0</v>
      </c>
      <c r="G91" s="6">
        <v>357369.27</v>
      </c>
      <c r="H91" s="6">
        <v>33.98</v>
      </c>
      <c r="I91" s="8">
        <v>33.4902861760791</v>
      </c>
      <c r="J91" s="6">
        <v>352250.83</v>
      </c>
      <c r="K91" s="6">
        <v>5118.44</v>
      </c>
      <c r="L91" s="6">
        <v>1.43</v>
      </c>
      <c r="M91" s="6">
        <f t="shared" si="1"/>
        <v>0.4866362426</v>
      </c>
      <c r="N91" s="6">
        <v>1.43</v>
      </c>
      <c r="O91" s="7" t="s">
        <v>45</v>
      </c>
      <c r="P91" s="7" t="s">
        <v>46</v>
      </c>
      <c r="Q91" s="7" t="s">
        <v>25</v>
      </c>
      <c r="R91" s="10">
        <v>4623.87</v>
      </c>
      <c r="S91" s="10">
        <v>494.56</v>
      </c>
      <c r="T91" s="9" t="s">
        <v>33</v>
      </c>
      <c r="U91" s="9"/>
      <c r="V91" s="9"/>
      <c r="W91" s="9"/>
      <c r="X91" s="9"/>
      <c r="Y91" s="9"/>
      <c r="Z91" s="9"/>
      <c r="AA91" s="9"/>
      <c r="AB91" s="9"/>
    </row>
    <row r="92">
      <c r="A92" s="5">
        <v>41728.0</v>
      </c>
      <c r="B92" s="6">
        <v>2014.0</v>
      </c>
      <c r="C92" s="7" t="s">
        <v>71</v>
      </c>
      <c r="D92" s="7" t="s">
        <v>21</v>
      </c>
      <c r="E92" s="7" t="s">
        <v>41</v>
      </c>
      <c r="F92" s="6">
        <v>4791.0</v>
      </c>
      <c r="G92" s="6">
        <v>163865.49</v>
      </c>
      <c r="H92" s="6">
        <v>34.2</v>
      </c>
      <c r="I92" s="8">
        <v>33.50562095595909</v>
      </c>
      <c r="J92" s="6">
        <v>160525.43</v>
      </c>
      <c r="K92" s="6">
        <v>3340.06</v>
      </c>
      <c r="L92" s="6">
        <v>2.04</v>
      </c>
      <c r="M92" s="6">
        <f t="shared" si="1"/>
        <v>0.6971529952</v>
      </c>
      <c r="N92" s="6">
        <v>2.04</v>
      </c>
      <c r="O92" s="7" t="s">
        <v>45</v>
      </c>
      <c r="P92" s="7" t="s">
        <v>46</v>
      </c>
      <c r="Q92" s="7" t="s">
        <v>25</v>
      </c>
      <c r="R92" s="10">
        <v>5118.44</v>
      </c>
      <c r="S92" s="10">
        <v>-1778.37</v>
      </c>
      <c r="T92" s="9" t="s">
        <v>29</v>
      </c>
      <c r="U92" s="9"/>
      <c r="V92" s="9"/>
      <c r="W92" s="9"/>
      <c r="X92" s="9"/>
      <c r="Y92" s="9"/>
      <c r="Z92" s="9"/>
      <c r="AA92" s="9"/>
      <c r="AB92" s="9"/>
    </row>
    <row r="93">
      <c r="A93" s="5">
        <v>41729.0</v>
      </c>
      <c r="B93" s="6">
        <v>2014.0</v>
      </c>
      <c r="C93" s="7" t="s">
        <v>71</v>
      </c>
      <c r="D93" s="7" t="s">
        <v>27</v>
      </c>
      <c r="E93" s="7" t="s">
        <v>22</v>
      </c>
      <c r="F93" s="6">
        <v>5583.0</v>
      </c>
      <c r="G93" s="6">
        <v>190719.61</v>
      </c>
      <c r="H93" s="6">
        <v>34.16</v>
      </c>
      <c r="I93" s="8">
        <v>33.507540748701416</v>
      </c>
      <c r="J93" s="6">
        <v>187072.6</v>
      </c>
      <c r="K93" s="6">
        <v>3647.02</v>
      </c>
      <c r="L93" s="6">
        <v>1.91</v>
      </c>
      <c r="M93" s="6">
        <f t="shared" si="1"/>
        <v>0.6532366111</v>
      </c>
      <c r="N93" s="6">
        <v>1.91</v>
      </c>
      <c r="O93" s="7" t="s">
        <v>45</v>
      </c>
      <c r="P93" s="7" t="s">
        <v>46</v>
      </c>
      <c r="Q93" s="7" t="s">
        <v>25</v>
      </c>
      <c r="R93" s="10">
        <v>3340.06</v>
      </c>
      <c r="S93" s="10">
        <v>306.96</v>
      </c>
      <c r="T93" s="9" t="s">
        <v>33</v>
      </c>
      <c r="U93" s="9"/>
      <c r="V93" s="9"/>
      <c r="W93" s="9"/>
      <c r="X93" s="9"/>
      <c r="Y93" s="9"/>
      <c r="Z93" s="9"/>
      <c r="AA93" s="9"/>
      <c r="AB93" s="9"/>
    </row>
    <row r="94">
      <c r="A94" s="5">
        <v>41730.0</v>
      </c>
      <c r="B94" s="6">
        <v>2014.0</v>
      </c>
      <c r="C94" s="7" t="s">
        <v>72</v>
      </c>
      <c r="D94" s="7" t="s">
        <v>31</v>
      </c>
      <c r="E94" s="7" t="s">
        <v>28</v>
      </c>
      <c r="F94" s="6">
        <v>7155.0</v>
      </c>
      <c r="G94" s="6">
        <v>244535.21</v>
      </c>
      <c r="H94" s="6">
        <v>34.18</v>
      </c>
      <c r="I94" s="8">
        <v>33.50114325646401</v>
      </c>
      <c r="J94" s="6">
        <v>239700.68</v>
      </c>
      <c r="K94" s="6">
        <v>4834.52</v>
      </c>
      <c r="L94" s="6">
        <v>1.98</v>
      </c>
      <c r="M94" s="6">
        <f t="shared" si="1"/>
        <v>0.675684137</v>
      </c>
      <c r="N94" s="6">
        <v>1.98</v>
      </c>
      <c r="O94" s="7" t="s">
        <v>45</v>
      </c>
      <c r="P94" s="7" t="s">
        <v>46</v>
      </c>
      <c r="Q94" s="7" t="s">
        <v>25</v>
      </c>
      <c r="R94" s="10">
        <v>3647.02</v>
      </c>
      <c r="S94" s="10">
        <v>1187.5</v>
      </c>
      <c r="T94" s="9" t="s">
        <v>33</v>
      </c>
      <c r="U94" s="9"/>
      <c r="V94" s="9"/>
      <c r="W94" s="9"/>
      <c r="X94" s="9"/>
      <c r="Y94" s="9"/>
      <c r="Z94" s="9"/>
      <c r="AA94" s="9"/>
      <c r="AB94" s="9"/>
    </row>
    <row r="95">
      <c r="A95" s="5">
        <v>41731.0</v>
      </c>
      <c r="B95" s="6">
        <v>2014.0</v>
      </c>
      <c r="C95" s="7" t="s">
        <v>72</v>
      </c>
      <c r="D95" s="7" t="s">
        <v>34</v>
      </c>
      <c r="E95" s="7" t="s">
        <v>32</v>
      </c>
      <c r="F95" s="6">
        <v>4575.0</v>
      </c>
      <c r="G95" s="6">
        <v>155620.5</v>
      </c>
      <c r="H95" s="6">
        <v>34.02</v>
      </c>
      <c r="I95" s="8">
        <v>33.52262732240437</v>
      </c>
      <c r="J95" s="6">
        <v>153366.02</v>
      </c>
      <c r="K95" s="6">
        <v>2254.48</v>
      </c>
      <c r="L95" s="6">
        <v>1.45</v>
      </c>
      <c r="M95" s="6">
        <f t="shared" si="1"/>
        <v>0.4927825137</v>
      </c>
      <c r="N95" s="6">
        <v>1.45</v>
      </c>
      <c r="O95" s="7" t="s">
        <v>45</v>
      </c>
      <c r="P95" s="7" t="s">
        <v>46</v>
      </c>
      <c r="Q95" s="7" t="s">
        <v>25</v>
      </c>
      <c r="R95" s="10">
        <v>4834.52</v>
      </c>
      <c r="S95" s="10">
        <v>-2580.04</v>
      </c>
      <c r="T95" s="9" t="s">
        <v>29</v>
      </c>
      <c r="U95" s="9"/>
      <c r="V95" s="9"/>
      <c r="W95" s="9"/>
      <c r="X95" s="9"/>
      <c r="Y95" s="9"/>
      <c r="Z95" s="9"/>
      <c r="AA95" s="9"/>
      <c r="AB95" s="9"/>
    </row>
    <row r="96">
      <c r="A96" s="5">
        <v>41732.0</v>
      </c>
      <c r="B96" s="6">
        <v>2014.0</v>
      </c>
      <c r="C96" s="7" t="s">
        <v>72</v>
      </c>
      <c r="D96" s="7" t="s">
        <v>36</v>
      </c>
      <c r="E96" s="7" t="s">
        <v>35</v>
      </c>
      <c r="F96" s="6">
        <v>3997.0</v>
      </c>
      <c r="G96" s="6">
        <v>136001.98</v>
      </c>
      <c r="H96" s="6">
        <v>34.03</v>
      </c>
      <c r="I96" s="8">
        <v>33.65600950713035</v>
      </c>
      <c r="J96" s="6">
        <v>134523.07</v>
      </c>
      <c r="K96" s="6">
        <v>1478.91</v>
      </c>
      <c r="L96" s="6">
        <v>1.09</v>
      </c>
      <c r="M96" s="6">
        <f t="shared" si="1"/>
        <v>0.3700050038</v>
      </c>
      <c r="N96" s="6">
        <v>1.09</v>
      </c>
      <c r="O96" s="7" t="s">
        <v>45</v>
      </c>
      <c r="P96" s="7" t="s">
        <v>46</v>
      </c>
      <c r="Q96" s="7" t="s">
        <v>25</v>
      </c>
      <c r="R96" s="10">
        <v>2254.48</v>
      </c>
      <c r="S96" s="10">
        <v>-775.58</v>
      </c>
      <c r="T96" s="9" t="s">
        <v>29</v>
      </c>
      <c r="U96" s="9"/>
      <c r="V96" s="9"/>
      <c r="W96" s="9"/>
      <c r="X96" s="9"/>
      <c r="Y96" s="9"/>
      <c r="Z96" s="9"/>
      <c r="AA96" s="9"/>
      <c r="AB96" s="9"/>
    </row>
    <row r="97">
      <c r="A97" s="5">
        <v>41733.0</v>
      </c>
      <c r="B97" s="6">
        <v>2014.0</v>
      </c>
      <c r="C97" s="7" t="s">
        <v>72</v>
      </c>
      <c r="D97" s="7" t="s">
        <v>38</v>
      </c>
      <c r="E97" s="7" t="s">
        <v>37</v>
      </c>
      <c r="F97" s="6">
        <v>5558.0</v>
      </c>
      <c r="G97" s="6">
        <v>190559.89</v>
      </c>
      <c r="H97" s="6">
        <v>34.29</v>
      </c>
      <c r="I97" s="8">
        <v>33.77875134940626</v>
      </c>
      <c r="J97" s="6">
        <v>187742.3</v>
      </c>
      <c r="K97" s="6">
        <v>2817.59</v>
      </c>
      <c r="L97" s="6">
        <v>1.48</v>
      </c>
      <c r="M97" s="6">
        <f t="shared" si="1"/>
        <v>0.506943145</v>
      </c>
      <c r="N97" s="6">
        <v>1.48</v>
      </c>
      <c r="O97" s="7" t="s">
        <v>45</v>
      </c>
      <c r="P97" s="7" t="s">
        <v>46</v>
      </c>
      <c r="Q97" s="7" t="s">
        <v>25</v>
      </c>
      <c r="R97" s="10">
        <v>1478.91</v>
      </c>
      <c r="S97" s="10">
        <v>1338.68</v>
      </c>
      <c r="T97" s="9" t="s">
        <v>33</v>
      </c>
      <c r="U97" s="9"/>
      <c r="V97" s="9"/>
      <c r="W97" s="9"/>
      <c r="X97" s="9"/>
      <c r="Y97" s="9"/>
      <c r="Z97" s="9"/>
      <c r="AA97" s="9"/>
      <c r="AB97" s="9"/>
    </row>
    <row r="98">
      <c r="A98" s="5">
        <v>41734.0</v>
      </c>
      <c r="B98" s="6">
        <v>2014.0</v>
      </c>
      <c r="C98" s="7" t="s">
        <v>72</v>
      </c>
      <c r="D98" s="7" t="s">
        <v>40</v>
      </c>
      <c r="E98" s="7" t="s">
        <v>39</v>
      </c>
      <c r="F98" s="6">
        <v>6320.0</v>
      </c>
      <c r="G98" s="6">
        <v>217110.5</v>
      </c>
      <c r="H98" s="6">
        <v>34.35</v>
      </c>
      <c r="I98" s="8">
        <v>33.78809018987342</v>
      </c>
      <c r="J98" s="6">
        <v>213540.73</v>
      </c>
      <c r="K98" s="6">
        <v>3569.77</v>
      </c>
      <c r="L98" s="6">
        <v>1.64</v>
      </c>
      <c r="M98" s="6">
        <f t="shared" si="1"/>
        <v>0.5648370253</v>
      </c>
      <c r="N98" s="6">
        <v>1.64</v>
      </c>
      <c r="O98" s="7" t="s">
        <v>45</v>
      </c>
      <c r="P98" s="7" t="s">
        <v>46</v>
      </c>
      <c r="Q98" s="7" t="s">
        <v>25</v>
      </c>
      <c r="R98" s="10">
        <v>2817.59</v>
      </c>
      <c r="S98" s="10">
        <v>752.18</v>
      </c>
      <c r="T98" s="9" t="s">
        <v>33</v>
      </c>
      <c r="U98" s="9"/>
      <c r="V98" s="9"/>
      <c r="W98" s="9"/>
      <c r="X98" s="9"/>
      <c r="Y98" s="9"/>
      <c r="Z98" s="9"/>
      <c r="AA98" s="9"/>
      <c r="AB98" s="9"/>
    </row>
    <row r="99">
      <c r="A99" s="5">
        <v>41735.0</v>
      </c>
      <c r="B99" s="6">
        <v>2014.0</v>
      </c>
      <c r="C99" s="7" t="s">
        <v>72</v>
      </c>
      <c r="D99" s="7" t="s">
        <v>42</v>
      </c>
      <c r="E99" s="7" t="s">
        <v>41</v>
      </c>
      <c r="F99" s="6">
        <v>3447.0</v>
      </c>
      <c r="G99" s="6">
        <v>119190.1</v>
      </c>
      <c r="H99" s="6">
        <v>34.58</v>
      </c>
      <c r="I99" s="8">
        <v>33.900873223092546</v>
      </c>
      <c r="J99" s="6">
        <v>116856.31</v>
      </c>
      <c r="K99" s="6">
        <v>2333.79</v>
      </c>
      <c r="L99" s="6">
        <v>1.96</v>
      </c>
      <c r="M99" s="6">
        <f t="shared" si="1"/>
        <v>0.6770496084</v>
      </c>
      <c r="N99" s="6">
        <v>1.96</v>
      </c>
      <c r="O99" s="7" t="s">
        <v>45</v>
      </c>
      <c r="P99" s="7" t="s">
        <v>46</v>
      </c>
      <c r="Q99" s="7" t="s">
        <v>25</v>
      </c>
      <c r="R99" s="10">
        <v>3569.77</v>
      </c>
      <c r="S99" s="10">
        <v>-1235.98</v>
      </c>
      <c r="T99" s="9" t="s">
        <v>29</v>
      </c>
      <c r="U99" s="9"/>
      <c r="V99" s="9"/>
      <c r="W99" s="9"/>
      <c r="X99" s="9"/>
      <c r="Y99" s="9"/>
      <c r="Z99" s="9"/>
      <c r="AA99" s="9"/>
      <c r="AB99" s="9"/>
    </row>
    <row r="100">
      <c r="A100" s="5">
        <v>41736.0</v>
      </c>
      <c r="B100" s="6">
        <v>2014.0</v>
      </c>
      <c r="C100" s="7" t="s">
        <v>72</v>
      </c>
      <c r="D100" s="7" t="s">
        <v>43</v>
      </c>
      <c r="E100" s="7" t="s">
        <v>22</v>
      </c>
      <c r="F100" s="6">
        <v>3854.0</v>
      </c>
      <c r="G100" s="6">
        <v>131910.2</v>
      </c>
      <c r="H100" s="6">
        <v>34.23</v>
      </c>
      <c r="I100" s="8">
        <v>33.934727555786196</v>
      </c>
      <c r="J100" s="6">
        <v>130784.44</v>
      </c>
      <c r="K100" s="6">
        <v>1125.75</v>
      </c>
      <c r="L100" s="6">
        <v>0.85</v>
      </c>
      <c r="M100" s="6">
        <f t="shared" si="1"/>
        <v>0.2920991178</v>
      </c>
      <c r="N100" s="6">
        <v>0.85</v>
      </c>
      <c r="O100" s="7" t="s">
        <v>45</v>
      </c>
      <c r="P100" s="7" t="s">
        <v>46</v>
      </c>
      <c r="Q100" s="7" t="s">
        <v>25</v>
      </c>
      <c r="R100" s="10">
        <v>2333.79</v>
      </c>
      <c r="S100" s="10">
        <v>-1208.03</v>
      </c>
      <c r="T100" s="9" t="s">
        <v>29</v>
      </c>
      <c r="U100" s="9"/>
      <c r="V100" s="9"/>
      <c r="W100" s="9"/>
      <c r="X100" s="9"/>
      <c r="Y100" s="9"/>
      <c r="Z100" s="9"/>
      <c r="AA100" s="9"/>
      <c r="AB100" s="9"/>
    </row>
    <row r="101">
      <c r="A101" s="5">
        <v>41737.0</v>
      </c>
      <c r="B101" s="6">
        <v>2014.0</v>
      </c>
      <c r="C101" s="7" t="s">
        <v>72</v>
      </c>
      <c r="D101" s="7" t="s">
        <v>44</v>
      </c>
      <c r="E101" s="7" t="s">
        <v>28</v>
      </c>
      <c r="F101" s="6">
        <v>3394.0</v>
      </c>
      <c r="G101" s="6">
        <v>118921.31</v>
      </c>
      <c r="H101" s="6">
        <v>35.04</v>
      </c>
      <c r="I101" s="8">
        <v>33.97342663523865</v>
      </c>
      <c r="J101" s="6">
        <v>115305.81</v>
      </c>
      <c r="K101" s="6">
        <v>3615.5</v>
      </c>
      <c r="L101" s="6">
        <v>3.04</v>
      </c>
      <c r="M101" s="6">
        <f t="shared" si="1"/>
        <v>1.065262227</v>
      </c>
      <c r="N101" s="6">
        <v>3.04</v>
      </c>
      <c r="O101" s="7" t="s">
        <v>45</v>
      </c>
      <c r="P101" s="7" t="s">
        <v>46</v>
      </c>
      <c r="Q101" s="7" t="s">
        <v>25</v>
      </c>
      <c r="R101" s="10">
        <v>1125.75</v>
      </c>
      <c r="S101" s="10">
        <v>2489.75</v>
      </c>
      <c r="T101" s="9" t="s">
        <v>33</v>
      </c>
      <c r="U101" s="9"/>
      <c r="V101" s="9"/>
      <c r="W101" s="9"/>
      <c r="X101" s="9"/>
      <c r="Y101" s="9"/>
      <c r="Z101" s="9"/>
      <c r="AA101" s="9"/>
      <c r="AB101" s="9"/>
    </row>
    <row r="102">
      <c r="A102" s="5">
        <v>41738.0</v>
      </c>
      <c r="B102" s="6">
        <v>2014.0</v>
      </c>
      <c r="C102" s="7" t="s">
        <v>72</v>
      </c>
      <c r="D102" s="7" t="s">
        <v>47</v>
      </c>
      <c r="E102" s="7" t="s">
        <v>32</v>
      </c>
      <c r="F102" s="6">
        <v>3563.0</v>
      </c>
      <c r="G102" s="6">
        <v>124828.28</v>
      </c>
      <c r="H102" s="6">
        <v>35.03</v>
      </c>
      <c r="I102" s="8">
        <v>34.03443727196183</v>
      </c>
      <c r="J102" s="6">
        <v>121264.7</v>
      </c>
      <c r="K102" s="6">
        <v>3563.58</v>
      </c>
      <c r="L102" s="6">
        <v>2.85</v>
      </c>
      <c r="M102" s="6">
        <f t="shared" si="1"/>
        <v>1.000162784</v>
      </c>
      <c r="N102" s="6">
        <v>2.85</v>
      </c>
      <c r="O102" s="7" t="s">
        <v>45</v>
      </c>
      <c r="P102" s="7" t="s">
        <v>46</v>
      </c>
      <c r="Q102" s="7" t="s">
        <v>25</v>
      </c>
      <c r="R102" s="10">
        <v>3615.5</v>
      </c>
      <c r="S102" s="10">
        <v>-51.92</v>
      </c>
      <c r="T102" s="9" t="s">
        <v>29</v>
      </c>
      <c r="U102" s="9"/>
      <c r="V102" s="9"/>
      <c r="W102" s="9"/>
      <c r="X102" s="9"/>
      <c r="Y102" s="9"/>
      <c r="Z102" s="9"/>
      <c r="AA102" s="9"/>
      <c r="AB102" s="9"/>
    </row>
    <row r="103">
      <c r="A103" s="5">
        <v>41739.0</v>
      </c>
      <c r="B103" s="6">
        <v>2014.0</v>
      </c>
      <c r="C103" s="7" t="s">
        <v>72</v>
      </c>
      <c r="D103" s="7" t="s">
        <v>48</v>
      </c>
      <c r="E103" s="7" t="s">
        <v>35</v>
      </c>
      <c r="F103" s="6">
        <v>5380.0</v>
      </c>
      <c r="G103" s="6">
        <v>179326.49</v>
      </c>
      <c r="H103" s="6">
        <v>33.33</v>
      </c>
      <c r="I103" s="8">
        <v>34.066635687732344</v>
      </c>
      <c r="J103" s="6">
        <v>183278.5</v>
      </c>
      <c r="K103" s="6">
        <v>-3952.01</v>
      </c>
      <c r="L103" s="6">
        <v>-2.2</v>
      </c>
      <c r="M103" s="6">
        <f t="shared" si="1"/>
        <v>-0.7345743494</v>
      </c>
      <c r="N103" s="6">
        <v>-2.2</v>
      </c>
      <c r="O103" s="7" t="s">
        <v>23</v>
      </c>
      <c r="P103" s="7" t="s">
        <v>73</v>
      </c>
      <c r="Q103" s="6">
        <v>-7.16</v>
      </c>
      <c r="R103" s="10">
        <v>3563.58</v>
      </c>
      <c r="S103" s="10">
        <v>-7515.59</v>
      </c>
      <c r="T103" s="9" t="s">
        <v>29</v>
      </c>
      <c r="U103" s="9"/>
      <c r="V103" s="9"/>
      <c r="W103" s="9"/>
      <c r="X103" s="9"/>
      <c r="Y103" s="9"/>
      <c r="Z103" s="9"/>
      <c r="AA103" s="9"/>
      <c r="AB103" s="9"/>
    </row>
    <row r="104">
      <c r="A104" s="5">
        <v>41740.0</v>
      </c>
      <c r="B104" s="6">
        <v>2014.0</v>
      </c>
      <c r="C104" s="7" t="s">
        <v>72</v>
      </c>
      <c r="D104" s="7" t="s">
        <v>49</v>
      </c>
      <c r="E104" s="7" t="s">
        <v>37</v>
      </c>
      <c r="F104" s="6">
        <v>9573.0</v>
      </c>
      <c r="G104" s="6">
        <v>318949.82</v>
      </c>
      <c r="H104" s="6">
        <v>33.32</v>
      </c>
      <c r="I104" s="8">
        <v>34.08780215188551</v>
      </c>
      <c r="J104" s="6">
        <v>326322.53</v>
      </c>
      <c r="K104" s="6">
        <v>-7372.71</v>
      </c>
      <c r="L104" s="6">
        <v>-2.31</v>
      </c>
      <c r="M104" s="6">
        <f t="shared" si="1"/>
        <v>-0.7701566907</v>
      </c>
      <c r="N104" s="6">
        <v>-2.31</v>
      </c>
      <c r="O104" s="7" t="s">
        <v>23</v>
      </c>
      <c r="P104" s="7" t="s">
        <v>73</v>
      </c>
      <c r="Q104" s="6">
        <v>-7.16</v>
      </c>
      <c r="R104" s="10">
        <v>-3952.01</v>
      </c>
      <c r="S104" s="10">
        <v>-3420.7</v>
      </c>
      <c r="T104" s="9" t="s">
        <v>29</v>
      </c>
      <c r="U104" s="9"/>
      <c r="V104" s="9"/>
      <c r="W104" s="9"/>
      <c r="X104" s="9"/>
      <c r="Y104" s="9"/>
      <c r="Z104" s="9"/>
      <c r="AA104" s="9"/>
      <c r="AB104" s="9"/>
    </row>
    <row r="105">
      <c r="A105" s="5">
        <v>41741.0</v>
      </c>
      <c r="B105" s="6">
        <v>2014.0</v>
      </c>
      <c r="C105" s="7" t="s">
        <v>72</v>
      </c>
      <c r="D105" s="7" t="s">
        <v>50</v>
      </c>
      <c r="E105" s="7" t="s">
        <v>39</v>
      </c>
      <c r="F105" s="6">
        <v>11250.0</v>
      </c>
      <c r="G105" s="6">
        <v>375031.11</v>
      </c>
      <c r="H105" s="6">
        <v>33.34</v>
      </c>
      <c r="I105" s="8">
        <v>34.10908355555556</v>
      </c>
      <c r="J105" s="6">
        <v>383727.19</v>
      </c>
      <c r="K105" s="6">
        <v>-8696.08</v>
      </c>
      <c r="L105" s="6">
        <v>-2.32</v>
      </c>
      <c r="M105" s="6">
        <f t="shared" si="1"/>
        <v>-0.7729848889</v>
      </c>
      <c r="N105" s="6">
        <v>-2.32</v>
      </c>
      <c r="O105" s="7" t="s">
        <v>23</v>
      </c>
      <c r="P105" s="7" t="s">
        <v>73</v>
      </c>
      <c r="Q105" s="6">
        <v>-7.16</v>
      </c>
      <c r="R105" s="10">
        <v>-7372.71</v>
      </c>
      <c r="S105" s="10">
        <v>-1323.38</v>
      </c>
      <c r="T105" s="9" t="s">
        <v>29</v>
      </c>
      <c r="U105" s="9"/>
      <c r="V105" s="9"/>
      <c r="W105" s="9"/>
      <c r="X105" s="9"/>
      <c r="Y105" s="9"/>
      <c r="Z105" s="9"/>
      <c r="AA105" s="9"/>
      <c r="AB105" s="9"/>
    </row>
    <row r="106">
      <c r="A106" s="5">
        <v>41742.0</v>
      </c>
      <c r="B106" s="6">
        <v>2014.0</v>
      </c>
      <c r="C106" s="7" t="s">
        <v>72</v>
      </c>
      <c r="D106" s="7" t="s">
        <v>51</v>
      </c>
      <c r="E106" s="7" t="s">
        <v>41</v>
      </c>
      <c r="F106" s="6">
        <v>4990.0</v>
      </c>
      <c r="G106" s="6">
        <v>166393.54</v>
      </c>
      <c r="H106" s="6">
        <v>33.35</v>
      </c>
      <c r="I106" s="8">
        <v>34.08053306613226</v>
      </c>
      <c r="J106" s="6">
        <v>170061.86</v>
      </c>
      <c r="K106" s="6">
        <v>-3668.32</v>
      </c>
      <c r="L106" s="6">
        <v>-2.2</v>
      </c>
      <c r="M106" s="6">
        <f t="shared" si="1"/>
        <v>-0.7351342685</v>
      </c>
      <c r="N106" s="6">
        <v>-2.2</v>
      </c>
      <c r="O106" s="7" t="s">
        <v>23</v>
      </c>
      <c r="P106" s="7" t="s">
        <v>73</v>
      </c>
      <c r="Q106" s="6">
        <v>-7.16</v>
      </c>
      <c r="R106" s="10">
        <v>-8696.08</v>
      </c>
      <c r="S106" s="10">
        <v>5027.76</v>
      </c>
      <c r="T106" s="9" t="s">
        <v>33</v>
      </c>
      <c r="U106" s="9"/>
      <c r="V106" s="9"/>
      <c r="W106" s="9"/>
      <c r="X106" s="9"/>
      <c r="Y106" s="9"/>
      <c r="Z106" s="9"/>
      <c r="AA106" s="9"/>
      <c r="AB106" s="9"/>
    </row>
    <row r="107">
      <c r="A107" s="5">
        <v>41743.0</v>
      </c>
      <c r="B107" s="6">
        <v>2014.0</v>
      </c>
      <c r="C107" s="7" t="s">
        <v>72</v>
      </c>
      <c r="D107" s="7" t="s">
        <v>52</v>
      </c>
      <c r="E107" s="7" t="s">
        <v>22</v>
      </c>
      <c r="F107" s="6">
        <v>5810.0</v>
      </c>
      <c r="G107" s="6">
        <v>193652.33</v>
      </c>
      <c r="H107" s="6">
        <v>33.33</v>
      </c>
      <c r="I107" s="8">
        <v>34.11567469879518</v>
      </c>
      <c r="J107" s="6">
        <v>198212.07</v>
      </c>
      <c r="K107" s="6">
        <v>-4559.74</v>
      </c>
      <c r="L107" s="6">
        <v>-2.35</v>
      </c>
      <c r="M107" s="6">
        <f t="shared" si="1"/>
        <v>-0.7848089501</v>
      </c>
      <c r="N107" s="6">
        <v>-2.35</v>
      </c>
      <c r="O107" s="7" t="s">
        <v>23</v>
      </c>
      <c r="P107" s="7" t="s">
        <v>73</v>
      </c>
      <c r="Q107" s="6">
        <v>-7.16</v>
      </c>
      <c r="R107" s="10">
        <v>-3668.32</v>
      </c>
      <c r="S107" s="10">
        <v>-891.42</v>
      </c>
      <c r="T107" s="9" t="s">
        <v>29</v>
      </c>
      <c r="U107" s="9"/>
      <c r="V107" s="9"/>
      <c r="W107" s="9"/>
      <c r="X107" s="9"/>
      <c r="Y107" s="9"/>
      <c r="Z107" s="9"/>
      <c r="AA107" s="9"/>
      <c r="AB107" s="9"/>
    </row>
    <row r="108">
      <c r="A108" s="5">
        <v>41744.0</v>
      </c>
      <c r="B108" s="6">
        <v>2014.0</v>
      </c>
      <c r="C108" s="7" t="s">
        <v>72</v>
      </c>
      <c r="D108" s="7" t="s">
        <v>53</v>
      </c>
      <c r="E108" s="7" t="s">
        <v>28</v>
      </c>
      <c r="F108" s="6">
        <v>7497.0</v>
      </c>
      <c r="G108" s="6">
        <v>249805.52</v>
      </c>
      <c r="H108" s="6">
        <v>33.32</v>
      </c>
      <c r="I108" s="8">
        <v>34.14120981726024</v>
      </c>
      <c r="J108" s="6">
        <v>255956.65</v>
      </c>
      <c r="K108" s="6">
        <v>-6151.14</v>
      </c>
      <c r="L108" s="6">
        <v>-2.46</v>
      </c>
      <c r="M108" s="6">
        <f t="shared" si="1"/>
        <v>-0.8204801921</v>
      </c>
      <c r="N108" s="6">
        <v>-2.46</v>
      </c>
      <c r="O108" s="7" t="s">
        <v>23</v>
      </c>
      <c r="P108" s="7" t="s">
        <v>73</v>
      </c>
      <c r="Q108" s="6">
        <v>-7.16</v>
      </c>
      <c r="R108" s="10">
        <v>-4559.74</v>
      </c>
      <c r="S108" s="10">
        <v>-1591.4</v>
      </c>
      <c r="T108" s="9" t="s">
        <v>29</v>
      </c>
      <c r="U108" s="9"/>
      <c r="V108" s="9"/>
      <c r="W108" s="9"/>
      <c r="X108" s="9"/>
      <c r="Y108" s="9"/>
      <c r="Z108" s="9"/>
      <c r="AA108" s="9"/>
      <c r="AB108" s="9"/>
    </row>
    <row r="109">
      <c r="A109" s="5">
        <v>41745.0</v>
      </c>
      <c r="B109" s="6">
        <v>2014.0</v>
      </c>
      <c r="C109" s="7" t="s">
        <v>72</v>
      </c>
      <c r="D109" s="7" t="s">
        <v>54</v>
      </c>
      <c r="E109" s="7" t="s">
        <v>32</v>
      </c>
      <c r="F109" s="6">
        <v>8821.0</v>
      </c>
      <c r="G109" s="6">
        <v>294023.41</v>
      </c>
      <c r="H109" s="6">
        <v>33.33</v>
      </c>
      <c r="I109" s="8">
        <v>34.18233193515474</v>
      </c>
      <c r="J109" s="6">
        <v>301522.35</v>
      </c>
      <c r="K109" s="6">
        <v>-7498.94</v>
      </c>
      <c r="L109" s="6">
        <v>-2.55</v>
      </c>
      <c r="M109" s="6">
        <f t="shared" si="1"/>
        <v>-0.8501235688</v>
      </c>
      <c r="N109" s="6">
        <v>-2.55</v>
      </c>
      <c r="O109" s="7" t="s">
        <v>23</v>
      </c>
      <c r="P109" s="7" t="s">
        <v>73</v>
      </c>
      <c r="Q109" s="6">
        <v>-7.16</v>
      </c>
      <c r="R109" s="10">
        <v>-6151.14</v>
      </c>
      <c r="S109" s="10">
        <v>-1347.8</v>
      </c>
      <c r="T109" s="9" t="s">
        <v>29</v>
      </c>
      <c r="U109" s="9"/>
      <c r="V109" s="9"/>
      <c r="W109" s="9"/>
      <c r="X109" s="9"/>
      <c r="Y109" s="9"/>
      <c r="Z109" s="9"/>
      <c r="AA109" s="9"/>
      <c r="AB109" s="9"/>
    </row>
    <row r="110">
      <c r="A110" s="5">
        <v>41746.0</v>
      </c>
      <c r="B110" s="6">
        <v>2014.0</v>
      </c>
      <c r="C110" s="7" t="s">
        <v>72</v>
      </c>
      <c r="D110" s="7" t="s">
        <v>55</v>
      </c>
      <c r="E110" s="7" t="s">
        <v>35</v>
      </c>
      <c r="F110" s="6">
        <v>18366.0</v>
      </c>
      <c r="G110" s="6">
        <v>612236.01</v>
      </c>
      <c r="H110" s="6">
        <v>33.34</v>
      </c>
      <c r="I110" s="8">
        <v>34.18968528803224</v>
      </c>
      <c r="J110" s="6">
        <v>627927.76</v>
      </c>
      <c r="K110" s="6">
        <v>-15691.75</v>
      </c>
      <c r="L110" s="6">
        <v>-2.56</v>
      </c>
      <c r="M110" s="6">
        <f t="shared" si="1"/>
        <v>-0.8543912665</v>
      </c>
      <c r="N110" s="6">
        <v>-2.56</v>
      </c>
      <c r="O110" s="7" t="s">
        <v>23</v>
      </c>
      <c r="P110" s="7" t="s">
        <v>73</v>
      </c>
      <c r="Q110" s="6">
        <v>-7.16</v>
      </c>
      <c r="R110" s="10">
        <v>-7498.94</v>
      </c>
      <c r="S110" s="10">
        <v>-8192.81</v>
      </c>
      <c r="T110" s="9" t="s">
        <v>29</v>
      </c>
      <c r="U110" s="9"/>
      <c r="V110" s="9"/>
      <c r="W110" s="9"/>
      <c r="X110" s="9"/>
      <c r="Y110" s="9"/>
      <c r="Z110" s="9"/>
      <c r="AA110" s="9"/>
      <c r="AB110" s="9"/>
    </row>
    <row r="111">
      <c r="A111" s="5">
        <v>41747.0</v>
      </c>
      <c r="B111" s="6">
        <v>2014.0</v>
      </c>
      <c r="C111" s="7" t="s">
        <v>72</v>
      </c>
      <c r="D111" s="7" t="s">
        <v>56</v>
      </c>
      <c r="E111" s="7" t="s">
        <v>37</v>
      </c>
      <c r="F111" s="6">
        <v>13940.0</v>
      </c>
      <c r="G111" s="6">
        <v>464815.52</v>
      </c>
      <c r="H111" s="6">
        <v>33.34</v>
      </c>
      <c r="I111" s="8">
        <v>34.19602152080344</v>
      </c>
      <c r="J111" s="6">
        <v>476692.54</v>
      </c>
      <c r="K111" s="6">
        <v>-11877.03</v>
      </c>
      <c r="L111" s="6">
        <v>-2.56</v>
      </c>
      <c r="M111" s="6">
        <f t="shared" si="1"/>
        <v>-0.8520107604</v>
      </c>
      <c r="N111" s="6">
        <v>-2.56</v>
      </c>
      <c r="O111" s="7" t="s">
        <v>23</v>
      </c>
      <c r="P111" s="7" t="s">
        <v>73</v>
      </c>
      <c r="Q111" s="6">
        <v>-7.16</v>
      </c>
      <c r="R111" s="10">
        <v>-15691.75</v>
      </c>
      <c r="S111" s="10">
        <v>3814.73</v>
      </c>
      <c r="T111" s="9" t="s">
        <v>33</v>
      </c>
      <c r="U111" s="9"/>
      <c r="V111" s="9"/>
      <c r="W111" s="9"/>
      <c r="X111" s="9"/>
      <c r="Y111" s="9"/>
      <c r="Z111" s="9"/>
      <c r="AA111" s="9"/>
      <c r="AB111" s="9"/>
    </row>
    <row r="112">
      <c r="A112" s="5">
        <v>41748.0</v>
      </c>
      <c r="B112" s="6">
        <v>2014.0</v>
      </c>
      <c r="C112" s="7" t="s">
        <v>72</v>
      </c>
      <c r="D112" s="7" t="s">
        <v>57</v>
      </c>
      <c r="E112" s="7" t="s">
        <v>39</v>
      </c>
      <c r="F112" s="6">
        <v>10814.0</v>
      </c>
      <c r="G112" s="6">
        <v>360480.94</v>
      </c>
      <c r="H112" s="6">
        <v>33.33</v>
      </c>
      <c r="I112" s="8">
        <v>34.193231921583134</v>
      </c>
      <c r="J112" s="6">
        <v>369765.61</v>
      </c>
      <c r="K112" s="6">
        <v>-9284.67</v>
      </c>
      <c r="L112" s="6">
        <v>-2.58</v>
      </c>
      <c r="M112" s="6">
        <f t="shared" si="1"/>
        <v>-0.8585786943</v>
      </c>
      <c r="N112" s="6">
        <v>-2.58</v>
      </c>
      <c r="O112" s="7" t="s">
        <v>23</v>
      </c>
      <c r="P112" s="7" t="s">
        <v>73</v>
      </c>
      <c r="Q112" s="6">
        <v>-7.16</v>
      </c>
      <c r="R112" s="10">
        <v>-11877.03</v>
      </c>
      <c r="S112" s="10">
        <v>2592.35</v>
      </c>
      <c r="T112" s="9" t="s">
        <v>33</v>
      </c>
      <c r="U112" s="9"/>
      <c r="V112" s="9"/>
      <c r="W112" s="9"/>
      <c r="X112" s="9"/>
      <c r="Y112" s="9"/>
      <c r="Z112" s="9"/>
      <c r="AA112" s="9"/>
      <c r="AB112" s="9"/>
    </row>
    <row r="113">
      <c r="A113" s="5">
        <v>41749.0</v>
      </c>
      <c r="B113" s="6">
        <v>2014.0</v>
      </c>
      <c r="C113" s="7" t="s">
        <v>72</v>
      </c>
      <c r="D113" s="7" t="s">
        <v>58</v>
      </c>
      <c r="E113" s="7" t="s">
        <v>41</v>
      </c>
      <c r="F113" s="6">
        <v>3429.0</v>
      </c>
      <c r="G113" s="6">
        <v>114279.58</v>
      </c>
      <c r="H113" s="6">
        <v>33.33</v>
      </c>
      <c r="I113" s="8">
        <v>34.176386701662295</v>
      </c>
      <c r="J113" s="6">
        <v>117190.83</v>
      </c>
      <c r="K113" s="6">
        <v>-2911.25</v>
      </c>
      <c r="L113" s="6">
        <v>-2.55</v>
      </c>
      <c r="M113" s="6">
        <f t="shared" si="1"/>
        <v>-0.8490084573</v>
      </c>
      <c r="N113" s="6">
        <v>-2.55</v>
      </c>
      <c r="O113" s="7" t="s">
        <v>23</v>
      </c>
      <c r="P113" s="7" t="s">
        <v>73</v>
      </c>
      <c r="Q113" s="6">
        <v>-7.16</v>
      </c>
      <c r="R113" s="10">
        <v>-9284.67</v>
      </c>
      <c r="S113" s="10">
        <v>6373.42</v>
      </c>
      <c r="T113" s="9" t="s">
        <v>33</v>
      </c>
      <c r="U113" s="9"/>
      <c r="V113" s="9"/>
      <c r="W113" s="9"/>
      <c r="X113" s="9"/>
      <c r="Y113" s="9"/>
      <c r="Z113" s="9"/>
      <c r="AA113" s="9"/>
      <c r="AB113" s="9"/>
    </row>
    <row r="114">
      <c r="A114" s="5">
        <v>41750.0</v>
      </c>
      <c r="B114" s="6">
        <v>2014.0</v>
      </c>
      <c r="C114" s="7" t="s">
        <v>72</v>
      </c>
      <c r="D114" s="7" t="s">
        <v>59</v>
      </c>
      <c r="E114" s="7" t="s">
        <v>22</v>
      </c>
      <c r="F114" s="6">
        <v>4834.0</v>
      </c>
      <c r="G114" s="6">
        <v>161170.82</v>
      </c>
      <c r="H114" s="6">
        <v>33.34</v>
      </c>
      <c r="I114" s="8">
        <v>34.2190897807199</v>
      </c>
      <c r="J114" s="6">
        <v>165415.08</v>
      </c>
      <c r="K114" s="6">
        <v>-4244.26</v>
      </c>
      <c r="L114" s="6">
        <v>-2.63</v>
      </c>
      <c r="M114" s="6">
        <f t="shared" si="1"/>
        <v>-0.8780016549</v>
      </c>
      <c r="N114" s="6">
        <v>-2.63</v>
      </c>
      <c r="O114" s="7" t="s">
        <v>23</v>
      </c>
      <c r="P114" s="7" t="s">
        <v>73</v>
      </c>
      <c r="Q114" s="6">
        <v>-7.16</v>
      </c>
      <c r="R114" s="10">
        <v>-2911.25</v>
      </c>
      <c r="S114" s="10">
        <v>-1333.01</v>
      </c>
      <c r="T114" s="9" t="s">
        <v>29</v>
      </c>
      <c r="U114" s="9"/>
      <c r="V114" s="9"/>
      <c r="W114" s="9"/>
      <c r="X114" s="9"/>
      <c r="Y114" s="9"/>
      <c r="Z114" s="9"/>
      <c r="AA114" s="9"/>
      <c r="AB114" s="9"/>
    </row>
    <row r="115">
      <c r="A115" s="5">
        <v>41751.0</v>
      </c>
      <c r="B115" s="6">
        <v>2014.0</v>
      </c>
      <c r="C115" s="7" t="s">
        <v>72</v>
      </c>
      <c r="D115" s="7" t="s">
        <v>60</v>
      </c>
      <c r="E115" s="7" t="s">
        <v>28</v>
      </c>
      <c r="F115" s="6">
        <v>5475.0</v>
      </c>
      <c r="G115" s="6">
        <v>182483.15</v>
      </c>
      <c r="H115" s="6">
        <v>33.33</v>
      </c>
      <c r="I115" s="8">
        <v>34.21821735159817</v>
      </c>
      <c r="J115" s="6">
        <v>187344.74</v>
      </c>
      <c r="K115" s="6">
        <v>-4861.59</v>
      </c>
      <c r="L115" s="6">
        <v>-2.66</v>
      </c>
      <c r="M115" s="6">
        <f t="shared" si="1"/>
        <v>-0.8879616438</v>
      </c>
      <c r="N115" s="6">
        <v>-2.66</v>
      </c>
      <c r="O115" s="7" t="s">
        <v>23</v>
      </c>
      <c r="P115" s="7" t="s">
        <v>73</v>
      </c>
      <c r="Q115" s="6">
        <v>-7.16</v>
      </c>
      <c r="R115" s="10">
        <v>-4244.26</v>
      </c>
      <c r="S115" s="10">
        <v>-617.33</v>
      </c>
      <c r="T115" s="9" t="s">
        <v>29</v>
      </c>
      <c r="U115" s="9"/>
      <c r="V115" s="9"/>
      <c r="W115" s="9"/>
      <c r="X115" s="9"/>
      <c r="Y115" s="9"/>
      <c r="Z115" s="9"/>
      <c r="AA115" s="9"/>
      <c r="AB115" s="9"/>
    </row>
    <row r="116">
      <c r="A116" s="5">
        <v>41752.0</v>
      </c>
      <c r="B116" s="6">
        <v>2014.0</v>
      </c>
      <c r="C116" s="7" t="s">
        <v>72</v>
      </c>
      <c r="D116" s="7" t="s">
        <v>61</v>
      </c>
      <c r="E116" s="7" t="s">
        <v>32</v>
      </c>
      <c r="F116" s="6">
        <v>3121.0</v>
      </c>
      <c r="G116" s="6">
        <v>109358.41</v>
      </c>
      <c r="H116" s="6">
        <v>35.04</v>
      </c>
      <c r="I116" s="8">
        <v>34.235789810958025</v>
      </c>
      <c r="J116" s="6">
        <v>106849.9</v>
      </c>
      <c r="K116" s="6">
        <v>2508.51</v>
      </c>
      <c r="L116" s="6">
        <v>2.29</v>
      </c>
      <c r="M116" s="6">
        <f t="shared" si="1"/>
        <v>0.8037520026</v>
      </c>
      <c r="N116" s="6">
        <v>2.29</v>
      </c>
      <c r="O116" s="7" t="s">
        <v>45</v>
      </c>
      <c r="P116" s="7" t="s">
        <v>46</v>
      </c>
      <c r="Q116" s="7" t="s">
        <v>25</v>
      </c>
      <c r="R116" s="10">
        <v>-4861.59</v>
      </c>
      <c r="S116" s="10">
        <v>7370.1</v>
      </c>
      <c r="T116" s="9" t="s">
        <v>33</v>
      </c>
      <c r="U116" s="9"/>
      <c r="V116" s="9"/>
      <c r="W116" s="9"/>
      <c r="X116" s="9"/>
      <c r="Y116" s="9"/>
      <c r="Z116" s="9"/>
      <c r="AA116" s="9"/>
      <c r="AB116" s="9"/>
    </row>
    <row r="117">
      <c r="A117" s="5">
        <v>41753.0</v>
      </c>
      <c r="B117" s="6">
        <v>2014.0</v>
      </c>
      <c r="C117" s="7" t="s">
        <v>72</v>
      </c>
      <c r="D117" s="7" t="s">
        <v>62</v>
      </c>
      <c r="E117" s="7" t="s">
        <v>35</v>
      </c>
      <c r="F117" s="6">
        <v>2809.0</v>
      </c>
      <c r="G117" s="6">
        <v>98430.11</v>
      </c>
      <c r="H117" s="6">
        <v>35.04</v>
      </c>
      <c r="I117" s="8">
        <v>34.24616589533642</v>
      </c>
      <c r="J117" s="6">
        <v>96197.48</v>
      </c>
      <c r="K117" s="6">
        <v>2232.63</v>
      </c>
      <c r="L117" s="6">
        <v>2.27</v>
      </c>
      <c r="M117" s="6">
        <f t="shared" si="1"/>
        <v>0.7948131007</v>
      </c>
      <c r="N117" s="6">
        <v>2.27</v>
      </c>
      <c r="O117" s="7" t="s">
        <v>45</v>
      </c>
      <c r="P117" s="7" t="s">
        <v>46</v>
      </c>
      <c r="Q117" s="7" t="s">
        <v>25</v>
      </c>
      <c r="R117" s="10">
        <v>2508.51</v>
      </c>
      <c r="S117" s="10">
        <v>-275.88</v>
      </c>
      <c r="T117" s="9" t="s">
        <v>29</v>
      </c>
      <c r="U117" s="9"/>
      <c r="V117" s="9"/>
      <c r="W117" s="9"/>
      <c r="X117" s="9"/>
      <c r="Y117" s="9"/>
      <c r="Z117" s="9"/>
      <c r="AA117" s="9"/>
      <c r="AB117" s="9"/>
    </row>
    <row r="118">
      <c r="A118" s="5">
        <v>41754.0</v>
      </c>
      <c r="B118" s="6">
        <v>2014.0</v>
      </c>
      <c r="C118" s="7" t="s">
        <v>72</v>
      </c>
      <c r="D118" s="7" t="s">
        <v>63</v>
      </c>
      <c r="E118" s="7" t="s">
        <v>37</v>
      </c>
      <c r="F118" s="6">
        <v>8537.0</v>
      </c>
      <c r="G118" s="6">
        <v>295741.35</v>
      </c>
      <c r="H118" s="6">
        <v>34.64</v>
      </c>
      <c r="I118" s="8">
        <v>34.24236031392761</v>
      </c>
      <c r="J118" s="6">
        <v>292327.03</v>
      </c>
      <c r="K118" s="6">
        <v>3414.32</v>
      </c>
      <c r="L118" s="6">
        <v>1.15</v>
      </c>
      <c r="M118" s="6">
        <f t="shared" si="1"/>
        <v>0.3999437742</v>
      </c>
      <c r="N118" s="6">
        <v>1.15</v>
      </c>
      <c r="O118" s="7" t="s">
        <v>45</v>
      </c>
      <c r="P118" s="7" t="s">
        <v>46</v>
      </c>
      <c r="Q118" s="7" t="s">
        <v>25</v>
      </c>
      <c r="R118" s="10">
        <v>2232.63</v>
      </c>
      <c r="S118" s="10">
        <v>1181.69</v>
      </c>
      <c r="T118" s="9" t="s">
        <v>33</v>
      </c>
      <c r="U118" s="9"/>
      <c r="V118" s="9"/>
      <c r="W118" s="9"/>
      <c r="X118" s="9"/>
      <c r="Y118" s="9"/>
      <c r="Z118" s="9"/>
      <c r="AA118" s="9"/>
      <c r="AB118" s="9"/>
    </row>
    <row r="119">
      <c r="A119" s="5">
        <v>41755.0</v>
      </c>
      <c r="B119" s="6">
        <v>2014.0</v>
      </c>
      <c r="C119" s="7" t="s">
        <v>72</v>
      </c>
      <c r="D119" s="7" t="s">
        <v>64</v>
      </c>
      <c r="E119" s="7" t="s">
        <v>39</v>
      </c>
      <c r="F119" s="6">
        <v>8209.0</v>
      </c>
      <c r="G119" s="6">
        <v>285053.98</v>
      </c>
      <c r="H119" s="6">
        <v>34.72</v>
      </c>
      <c r="I119" s="8">
        <v>34.25016201729809</v>
      </c>
      <c r="J119" s="6">
        <v>281159.58</v>
      </c>
      <c r="K119" s="6">
        <v>3894.4</v>
      </c>
      <c r="L119" s="6">
        <v>1.37</v>
      </c>
      <c r="M119" s="6">
        <f t="shared" si="1"/>
        <v>0.4744061396</v>
      </c>
      <c r="N119" s="6">
        <v>1.37</v>
      </c>
      <c r="O119" s="7" t="s">
        <v>45</v>
      </c>
      <c r="P119" s="7" t="s">
        <v>46</v>
      </c>
      <c r="Q119" s="7" t="s">
        <v>25</v>
      </c>
      <c r="R119" s="10">
        <v>3414.32</v>
      </c>
      <c r="S119" s="10">
        <v>480.08</v>
      </c>
      <c r="T119" s="9" t="s">
        <v>33</v>
      </c>
      <c r="U119" s="9"/>
      <c r="V119" s="9"/>
      <c r="W119" s="9"/>
      <c r="X119" s="9"/>
      <c r="Y119" s="9"/>
      <c r="Z119" s="9"/>
      <c r="AA119" s="9"/>
      <c r="AB119" s="9"/>
    </row>
    <row r="120">
      <c r="A120" s="5">
        <v>41756.0</v>
      </c>
      <c r="B120" s="6">
        <v>2014.0</v>
      </c>
      <c r="C120" s="7" t="s">
        <v>72</v>
      </c>
      <c r="D120" s="7" t="s">
        <v>65</v>
      </c>
      <c r="E120" s="7" t="s">
        <v>41</v>
      </c>
      <c r="F120" s="6">
        <v>3592.0</v>
      </c>
      <c r="G120" s="6">
        <v>124964.8</v>
      </c>
      <c r="H120" s="6">
        <v>34.79</v>
      </c>
      <c r="I120" s="8">
        <v>34.254498886414254</v>
      </c>
      <c r="J120" s="6">
        <v>123042.16</v>
      </c>
      <c r="K120" s="6">
        <v>1922.64</v>
      </c>
      <c r="L120" s="6">
        <v>1.54</v>
      </c>
      <c r="M120" s="6">
        <f t="shared" si="1"/>
        <v>0.5352561247</v>
      </c>
      <c r="N120" s="6">
        <v>1.54</v>
      </c>
      <c r="O120" s="7" t="s">
        <v>45</v>
      </c>
      <c r="P120" s="7" t="s">
        <v>46</v>
      </c>
      <c r="Q120" s="7" t="s">
        <v>25</v>
      </c>
      <c r="R120" s="10">
        <v>3894.4</v>
      </c>
      <c r="S120" s="10">
        <v>-1971.76</v>
      </c>
      <c r="T120" s="9" t="s">
        <v>29</v>
      </c>
      <c r="U120" s="9"/>
      <c r="V120" s="9"/>
      <c r="W120" s="9"/>
      <c r="X120" s="9"/>
      <c r="Y120" s="9"/>
      <c r="Z120" s="9"/>
      <c r="AA120" s="9"/>
      <c r="AB120" s="9"/>
    </row>
    <row r="121">
      <c r="A121" s="5">
        <v>41757.0</v>
      </c>
      <c r="B121" s="6">
        <v>2014.0</v>
      </c>
      <c r="C121" s="7" t="s">
        <v>72</v>
      </c>
      <c r="D121" s="7" t="s">
        <v>66</v>
      </c>
      <c r="E121" s="7" t="s">
        <v>22</v>
      </c>
      <c r="F121" s="6">
        <v>3576.0</v>
      </c>
      <c r="G121" s="6">
        <v>124175.81</v>
      </c>
      <c r="H121" s="6">
        <v>34.72</v>
      </c>
      <c r="I121" s="8">
        <v>34.26064597315436</v>
      </c>
      <c r="J121" s="6">
        <v>122516.07</v>
      </c>
      <c r="K121" s="6">
        <v>1659.74</v>
      </c>
      <c r="L121" s="6">
        <v>1.34</v>
      </c>
      <c r="M121" s="6">
        <f t="shared" si="1"/>
        <v>0.4641331096</v>
      </c>
      <c r="N121" s="6">
        <v>1.34</v>
      </c>
      <c r="O121" s="7" t="s">
        <v>45</v>
      </c>
      <c r="P121" s="7" t="s">
        <v>46</v>
      </c>
      <c r="Q121" s="7" t="s">
        <v>25</v>
      </c>
      <c r="R121" s="10">
        <v>1922.64</v>
      </c>
      <c r="S121" s="10">
        <v>-262.89</v>
      </c>
      <c r="T121" s="9" t="s">
        <v>29</v>
      </c>
      <c r="U121" s="9"/>
      <c r="V121" s="9"/>
      <c r="W121" s="9"/>
      <c r="X121" s="9"/>
      <c r="Y121" s="9"/>
      <c r="Z121" s="9"/>
      <c r="AA121" s="9"/>
      <c r="AB121" s="9"/>
    </row>
    <row r="122">
      <c r="A122" s="5">
        <v>41758.0</v>
      </c>
      <c r="B122" s="6">
        <v>2014.0</v>
      </c>
      <c r="C122" s="7" t="s">
        <v>72</v>
      </c>
      <c r="D122" s="7" t="s">
        <v>67</v>
      </c>
      <c r="E122" s="7" t="s">
        <v>28</v>
      </c>
      <c r="F122" s="6">
        <v>3807.0</v>
      </c>
      <c r="G122" s="6">
        <v>131842.57</v>
      </c>
      <c r="H122" s="6">
        <v>34.63</v>
      </c>
      <c r="I122" s="8">
        <v>34.254074074074076</v>
      </c>
      <c r="J122" s="6">
        <v>130405.26</v>
      </c>
      <c r="K122" s="6">
        <v>1437.31</v>
      </c>
      <c r="L122" s="6">
        <v>1.09</v>
      </c>
      <c r="M122" s="6">
        <f t="shared" si="1"/>
        <v>0.3775439979</v>
      </c>
      <c r="N122" s="6">
        <v>1.09</v>
      </c>
      <c r="O122" s="7" t="s">
        <v>45</v>
      </c>
      <c r="P122" s="7" t="s">
        <v>46</v>
      </c>
      <c r="Q122" s="7" t="s">
        <v>25</v>
      </c>
      <c r="R122" s="10">
        <v>1659.74</v>
      </c>
      <c r="S122" s="10">
        <v>-222.43</v>
      </c>
      <c r="T122" s="9" t="s">
        <v>29</v>
      </c>
      <c r="U122" s="9"/>
      <c r="V122" s="9"/>
      <c r="W122" s="9"/>
      <c r="X122" s="9"/>
      <c r="Y122" s="9"/>
      <c r="Z122" s="9"/>
      <c r="AA122" s="9"/>
      <c r="AB122" s="9"/>
    </row>
    <row r="123">
      <c r="A123" s="5">
        <v>41759.0</v>
      </c>
      <c r="B123" s="6">
        <v>2014.0</v>
      </c>
      <c r="C123" s="7" t="s">
        <v>72</v>
      </c>
      <c r="D123" s="7" t="s">
        <v>21</v>
      </c>
      <c r="E123" s="7" t="s">
        <v>32</v>
      </c>
      <c r="F123" s="6">
        <v>4398.0</v>
      </c>
      <c r="G123" s="6">
        <v>154850.06</v>
      </c>
      <c r="H123" s="6">
        <v>35.21</v>
      </c>
      <c r="I123" s="8">
        <v>34.25292178262847</v>
      </c>
      <c r="J123" s="6">
        <v>150644.35</v>
      </c>
      <c r="K123" s="6">
        <v>4205.71</v>
      </c>
      <c r="L123" s="6">
        <v>2.72</v>
      </c>
      <c r="M123" s="6">
        <f t="shared" si="1"/>
        <v>0.9562778536</v>
      </c>
      <c r="N123" s="6">
        <v>2.72</v>
      </c>
      <c r="O123" s="7" t="s">
        <v>45</v>
      </c>
      <c r="P123" s="7" t="s">
        <v>46</v>
      </c>
      <c r="Q123" s="7" t="s">
        <v>25</v>
      </c>
      <c r="R123" s="10">
        <v>1437.31</v>
      </c>
      <c r="S123" s="10">
        <v>2768.4</v>
      </c>
      <c r="T123" s="9" t="s">
        <v>33</v>
      </c>
      <c r="U123" s="9"/>
      <c r="V123" s="9"/>
      <c r="W123" s="9"/>
      <c r="X123" s="9"/>
      <c r="Y123" s="9"/>
      <c r="Z123" s="9"/>
      <c r="AA123" s="9"/>
      <c r="AB123" s="9"/>
    </row>
    <row r="124">
      <c r="A124" s="5">
        <v>41760.0</v>
      </c>
      <c r="B124" s="6">
        <v>2014.0</v>
      </c>
      <c r="C124" s="7" t="s">
        <v>74</v>
      </c>
      <c r="D124" s="7" t="s">
        <v>31</v>
      </c>
      <c r="E124" s="7" t="s">
        <v>35</v>
      </c>
      <c r="F124" s="6">
        <v>5124.0</v>
      </c>
      <c r="G124" s="6">
        <v>180294.27</v>
      </c>
      <c r="H124" s="6">
        <v>35.19</v>
      </c>
      <c r="I124" s="8">
        <v>34.281157298985164</v>
      </c>
      <c r="J124" s="6">
        <v>175656.65</v>
      </c>
      <c r="K124" s="6">
        <v>4637.62</v>
      </c>
      <c r="L124" s="6">
        <v>2.57</v>
      </c>
      <c r="M124" s="6">
        <f t="shared" si="1"/>
        <v>0.905078064</v>
      </c>
      <c r="N124" s="6">
        <v>2.57</v>
      </c>
      <c r="O124" s="7" t="s">
        <v>45</v>
      </c>
      <c r="P124" s="7" t="s">
        <v>46</v>
      </c>
      <c r="Q124" s="7" t="s">
        <v>25</v>
      </c>
      <c r="R124" s="10">
        <v>4205.71</v>
      </c>
      <c r="S124" s="10">
        <v>431.91</v>
      </c>
      <c r="T124" s="9" t="s">
        <v>33</v>
      </c>
      <c r="U124" s="9"/>
      <c r="V124" s="9"/>
      <c r="W124" s="9"/>
      <c r="X124" s="9"/>
      <c r="Y124" s="9"/>
      <c r="Z124" s="9"/>
      <c r="AA124" s="9"/>
      <c r="AB124" s="9"/>
    </row>
    <row r="125">
      <c r="A125" s="5">
        <v>41761.0</v>
      </c>
      <c r="B125" s="6">
        <v>2014.0</v>
      </c>
      <c r="C125" s="7" t="s">
        <v>74</v>
      </c>
      <c r="D125" s="7" t="s">
        <v>34</v>
      </c>
      <c r="E125" s="7" t="s">
        <v>37</v>
      </c>
      <c r="F125" s="6">
        <v>4581.0</v>
      </c>
      <c r="G125" s="6">
        <v>163849.04</v>
      </c>
      <c r="H125" s="6">
        <v>35.77</v>
      </c>
      <c r="I125" s="8">
        <v>34.33761842392491</v>
      </c>
      <c r="J125" s="6">
        <v>157300.63</v>
      </c>
      <c r="K125" s="6">
        <v>6548.41</v>
      </c>
      <c r="L125" s="6">
        <v>4.0</v>
      </c>
      <c r="M125" s="6">
        <f t="shared" si="1"/>
        <v>1.429471731</v>
      </c>
      <c r="N125" s="6">
        <v>4.0</v>
      </c>
      <c r="O125" s="7" t="s">
        <v>45</v>
      </c>
      <c r="P125" s="7" t="s">
        <v>46</v>
      </c>
      <c r="Q125" s="7" t="s">
        <v>25</v>
      </c>
      <c r="R125" s="10">
        <v>4637.62</v>
      </c>
      <c r="S125" s="10">
        <v>1910.79</v>
      </c>
      <c r="T125" s="9" t="s">
        <v>33</v>
      </c>
      <c r="U125" s="9"/>
      <c r="V125" s="9"/>
      <c r="W125" s="9"/>
      <c r="X125" s="9"/>
      <c r="Y125" s="9"/>
      <c r="Z125" s="9"/>
      <c r="AA125" s="9"/>
      <c r="AB125" s="9"/>
    </row>
    <row r="126">
      <c r="A126" s="5">
        <v>41762.0</v>
      </c>
      <c r="B126" s="6">
        <v>2014.0</v>
      </c>
      <c r="C126" s="7" t="s">
        <v>74</v>
      </c>
      <c r="D126" s="7" t="s">
        <v>36</v>
      </c>
      <c r="E126" s="7" t="s">
        <v>39</v>
      </c>
      <c r="F126" s="6">
        <v>3697.0</v>
      </c>
      <c r="G126" s="6">
        <v>131436.79</v>
      </c>
      <c r="H126" s="6">
        <v>35.55</v>
      </c>
      <c r="I126" s="8">
        <v>34.514995942656206</v>
      </c>
      <c r="J126" s="6">
        <v>127601.94</v>
      </c>
      <c r="K126" s="6">
        <v>3834.85</v>
      </c>
      <c r="L126" s="6">
        <v>2.92</v>
      </c>
      <c r="M126" s="6">
        <f t="shared" si="1"/>
        <v>1.037286989</v>
      </c>
      <c r="N126" s="6">
        <v>2.92</v>
      </c>
      <c r="O126" s="7" t="s">
        <v>45</v>
      </c>
      <c r="P126" s="7" t="s">
        <v>46</v>
      </c>
      <c r="Q126" s="7" t="s">
        <v>25</v>
      </c>
      <c r="R126" s="10">
        <v>6548.41</v>
      </c>
      <c r="S126" s="10">
        <v>-2713.56</v>
      </c>
      <c r="T126" s="9" t="s">
        <v>29</v>
      </c>
      <c r="U126" s="9"/>
      <c r="V126" s="9"/>
      <c r="W126" s="9"/>
      <c r="X126" s="9"/>
      <c r="Y126" s="9"/>
      <c r="Z126" s="9"/>
      <c r="AA126" s="9"/>
      <c r="AB126" s="9"/>
    </row>
    <row r="127">
      <c r="A127" s="5">
        <v>41763.0</v>
      </c>
      <c r="B127" s="6">
        <v>2014.0</v>
      </c>
      <c r="C127" s="7" t="s">
        <v>74</v>
      </c>
      <c r="D127" s="7" t="s">
        <v>38</v>
      </c>
      <c r="E127" s="7" t="s">
        <v>41</v>
      </c>
      <c r="F127" s="6">
        <v>2642.0</v>
      </c>
      <c r="G127" s="6">
        <v>93082.04</v>
      </c>
      <c r="H127" s="6">
        <v>35.23</v>
      </c>
      <c r="I127" s="8">
        <v>34.67127554882664</v>
      </c>
      <c r="J127" s="6">
        <v>91601.51</v>
      </c>
      <c r="K127" s="6">
        <v>1480.54</v>
      </c>
      <c r="L127" s="6">
        <v>1.59</v>
      </c>
      <c r="M127" s="6">
        <f t="shared" si="1"/>
        <v>0.5603860712</v>
      </c>
      <c r="N127" s="6">
        <v>1.59</v>
      </c>
      <c r="O127" s="7" t="s">
        <v>45</v>
      </c>
      <c r="P127" s="7" t="s">
        <v>46</v>
      </c>
      <c r="Q127" s="7" t="s">
        <v>25</v>
      </c>
      <c r="R127" s="10">
        <v>3834.85</v>
      </c>
      <c r="S127" s="10">
        <v>-2354.31</v>
      </c>
      <c r="T127" s="9" t="s">
        <v>29</v>
      </c>
      <c r="U127" s="9"/>
      <c r="V127" s="9"/>
      <c r="W127" s="9"/>
      <c r="X127" s="9"/>
      <c r="Y127" s="9"/>
      <c r="Z127" s="9"/>
      <c r="AA127" s="9"/>
      <c r="AB127" s="9"/>
    </row>
    <row r="128">
      <c r="A128" s="5">
        <v>41764.0</v>
      </c>
      <c r="B128" s="6">
        <v>2014.0</v>
      </c>
      <c r="C128" s="7" t="s">
        <v>74</v>
      </c>
      <c r="D128" s="7" t="s">
        <v>40</v>
      </c>
      <c r="E128" s="7" t="s">
        <v>22</v>
      </c>
      <c r="F128" s="6">
        <v>3154.0</v>
      </c>
      <c r="G128" s="6">
        <v>110887.01</v>
      </c>
      <c r="H128" s="6">
        <v>35.16</v>
      </c>
      <c r="I128" s="8">
        <v>34.70518389346861</v>
      </c>
      <c r="J128" s="6">
        <v>109460.15</v>
      </c>
      <c r="K128" s="6">
        <v>1426.86</v>
      </c>
      <c r="L128" s="6">
        <v>1.29</v>
      </c>
      <c r="M128" s="6">
        <f t="shared" si="1"/>
        <v>0.4523969562</v>
      </c>
      <c r="N128" s="6">
        <v>1.29</v>
      </c>
      <c r="O128" s="7" t="s">
        <v>45</v>
      </c>
      <c r="P128" s="7" t="s">
        <v>46</v>
      </c>
      <c r="Q128" s="7" t="s">
        <v>25</v>
      </c>
      <c r="R128" s="10">
        <v>1480.54</v>
      </c>
      <c r="S128" s="10">
        <v>-53.68</v>
      </c>
      <c r="T128" s="9" t="s">
        <v>29</v>
      </c>
      <c r="U128" s="9"/>
      <c r="V128" s="9"/>
      <c r="W128" s="9"/>
      <c r="X128" s="9"/>
      <c r="Y128" s="9"/>
      <c r="Z128" s="9"/>
      <c r="AA128" s="9"/>
      <c r="AB128" s="9"/>
    </row>
    <row r="129">
      <c r="A129" s="5">
        <v>41765.0</v>
      </c>
      <c r="B129" s="6">
        <v>2014.0</v>
      </c>
      <c r="C129" s="7" t="s">
        <v>74</v>
      </c>
      <c r="D129" s="7" t="s">
        <v>42</v>
      </c>
      <c r="E129" s="7" t="s">
        <v>28</v>
      </c>
      <c r="F129" s="6">
        <v>3324.0</v>
      </c>
      <c r="G129" s="6">
        <v>119385.58</v>
      </c>
      <c r="H129" s="6">
        <v>35.92</v>
      </c>
      <c r="I129" s="8">
        <v>34.8053880866426</v>
      </c>
      <c r="J129" s="6">
        <v>115693.11</v>
      </c>
      <c r="K129" s="6">
        <v>3692.47</v>
      </c>
      <c r="L129" s="6">
        <v>3.09</v>
      </c>
      <c r="M129" s="6">
        <f t="shared" si="1"/>
        <v>1.110851384</v>
      </c>
      <c r="N129" s="6">
        <v>3.09</v>
      </c>
      <c r="O129" s="7" t="s">
        <v>45</v>
      </c>
      <c r="P129" s="7" t="s">
        <v>46</v>
      </c>
      <c r="Q129" s="7" t="s">
        <v>25</v>
      </c>
      <c r="R129" s="10">
        <v>1426.86</v>
      </c>
      <c r="S129" s="10">
        <v>2265.61</v>
      </c>
      <c r="T129" s="9" t="s">
        <v>33</v>
      </c>
      <c r="U129" s="9"/>
      <c r="V129" s="9"/>
      <c r="W129" s="9"/>
      <c r="X129" s="9"/>
      <c r="Y129" s="9"/>
      <c r="Z129" s="9"/>
      <c r="AA129" s="9"/>
      <c r="AB129" s="9"/>
    </row>
    <row r="130">
      <c r="A130" s="5">
        <v>41766.0</v>
      </c>
      <c r="B130" s="6">
        <v>2014.0</v>
      </c>
      <c r="C130" s="7" t="s">
        <v>74</v>
      </c>
      <c r="D130" s="7" t="s">
        <v>43</v>
      </c>
      <c r="E130" s="7" t="s">
        <v>32</v>
      </c>
      <c r="F130" s="6">
        <v>2677.0</v>
      </c>
      <c r="G130" s="6">
        <v>91719.59</v>
      </c>
      <c r="H130" s="6">
        <v>34.26</v>
      </c>
      <c r="I130" s="8">
        <v>34.79909226746358</v>
      </c>
      <c r="J130" s="6">
        <v>93157.17</v>
      </c>
      <c r="K130" s="6">
        <v>-1437.58</v>
      </c>
      <c r="L130" s="6">
        <v>-1.57</v>
      </c>
      <c r="M130" s="6">
        <f t="shared" si="1"/>
        <v>-0.5370115801</v>
      </c>
      <c r="N130" s="6">
        <v>-1.57</v>
      </c>
      <c r="O130" s="7" t="s">
        <v>45</v>
      </c>
      <c r="P130" s="7" t="s">
        <v>46</v>
      </c>
      <c r="Q130" s="7" t="s">
        <v>25</v>
      </c>
      <c r="R130" s="10">
        <v>3692.47</v>
      </c>
      <c r="S130" s="10">
        <v>-5130.05</v>
      </c>
      <c r="T130" s="9" t="s">
        <v>29</v>
      </c>
      <c r="U130" s="9"/>
      <c r="V130" s="9"/>
      <c r="W130" s="9"/>
      <c r="X130" s="9"/>
      <c r="Y130" s="9"/>
      <c r="Z130" s="9"/>
      <c r="AA130" s="9"/>
      <c r="AB130" s="9"/>
    </row>
    <row r="131">
      <c r="A131" s="5">
        <v>41767.0</v>
      </c>
      <c r="B131" s="6">
        <v>2014.0</v>
      </c>
      <c r="C131" s="7" t="s">
        <v>74</v>
      </c>
      <c r="D131" s="7" t="s">
        <v>44</v>
      </c>
      <c r="E131" s="7" t="s">
        <v>35</v>
      </c>
      <c r="F131" s="6">
        <v>2683.0</v>
      </c>
      <c r="G131" s="6">
        <v>96335.45</v>
      </c>
      <c r="H131" s="6">
        <v>35.91</v>
      </c>
      <c r="I131" s="8">
        <v>34.92218412225121</v>
      </c>
      <c r="J131" s="6">
        <v>93696.22</v>
      </c>
      <c r="K131" s="6">
        <v>2639.23</v>
      </c>
      <c r="L131" s="6">
        <v>2.74</v>
      </c>
      <c r="M131" s="6">
        <f t="shared" si="1"/>
        <v>0.9836861722</v>
      </c>
      <c r="N131" s="6">
        <v>2.74</v>
      </c>
      <c r="O131" s="7" t="s">
        <v>45</v>
      </c>
      <c r="P131" s="7" t="s">
        <v>46</v>
      </c>
      <c r="Q131" s="7" t="s">
        <v>25</v>
      </c>
      <c r="R131" s="10">
        <v>-1437.58</v>
      </c>
      <c r="S131" s="10">
        <v>4076.81</v>
      </c>
      <c r="T131" s="9" t="s">
        <v>33</v>
      </c>
      <c r="U131" s="9"/>
      <c r="V131" s="9"/>
      <c r="W131" s="9"/>
      <c r="X131" s="9"/>
      <c r="Y131" s="9"/>
      <c r="Z131" s="9"/>
      <c r="AA131" s="9"/>
      <c r="AB131" s="9"/>
    </row>
    <row r="132">
      <c r="A132" s="5">
        <v>41768.0</v>
      </c>
      <c r="B132" s="6">
        <v>2014.0</v>
      </c>
      <c r="C132" s="7" t="s">
        <v>74</v>
      </c>
      <c r="D132" s="7" t="s">
        <v>47</v>
      </c>
      <c r="E132" s="7" t="s">
        <v>37</v>
      </c>
      <c r="F132" s="6">
        <v>9328.0</v>
      </c>
      <c r="G132" s="6">
        <v>303226.3</v>
      </c>
      <c r="H132" s="6">
        <v>32.51</v>
      </c>
      <c r="I132" s="8">
        <v>34.931061320754715</v>
      </c>
      <c r="J132" s="6">
        <v>325836.94</v>
      </c>
      <c r="K132" s="6">
        <v>-22610.64</v>
      </c>
      <c r="L132" s="6">
        <v>-7.46</v>
      </c>
      <c r="M132" s="6">
        <f t="shared" si="1"/>
        <v>-2.423953688</v>
      </c>
      <c r="N132" s="6">
        <v>-7.46</v>
      </c>
      <c r="O132" s="7" t="s">
        <v>23</v>
      </c>
      <c r="P132" s="7" t="s">
        <v>46</v>
      </c>
      <c r="Q132" s="7" t="s">
        <v>25</v>
      </c>
      <c r="R132" s="10">
        <v>2639.23</v>
      </c>
      <c r="S132" s="10">
        <v>-25249.87</v>
      </c>
      <c r="T132" s="9" t="s">
        <v>29</v>
      </c>
      <c r="U132" s="9"/>
      <c r="V132" s="9"/>
      <c r="W132" s="9"/>
      <c r="X132" s="9"/>
      <c r="Y132" s="9"/>
      <c r="Z132" s="9"/>
      <c r="AA132" s="9"/>
      <c r="AB132" s="9"/>
    </row>
    <row r="133">
      <c r="A133" s="5">
        <v>41769.0</v>
      </c>
      <c r="B133" s="6">
        <v>2014.0</v>
      </c>
      <c r="C133" s="7" t="s">
        <v>74</v>
      </c>
      <c r="D133" s="7" t="s">
        <v>48</v>
      </c>
      <c r="E133" s="7" t="s">
        <v>39</v>
      </c>
      <c r="F133" s="6">
        <v>13306.0</v>
      </c>
      <c r="G133" s="6">
        <v>431695.71</v>
      </c>
      <c r="H133" s="6">
        <v>32.44</v>
      </c>
      <c r="I133" s="8">
        <v>34.96571621824741</v>
      </c>
      <c r="J133" s="6">
        <v>465253.82</v>
      </c>
      <c r="K133" s="6">
        <v>-33558.11</v>
      </c>
      <c r="L133" s="6">
        <v>-7.77</v>
      </c>
      <c r="M133" s="6">
        <f t="shared" si="1"/>
        <v>-2.522028408</v>
      </c>
      <c r="N133" s="6">
        <v>-7.77</v>
      </c>
      <c r="O133" s="7" t="s">
        <v>23</v>
      </c>
      <c r="P133" s="7" t="s">
        <v>46</v>
      </c>
      <c r="Q133" s="7" t="s">
        <v>25</v>
      </c>
      <c r="R133" s="10">
        <v>-22610.64</v>
      </c>
      <c r="S133" s="10">
        <v>-10947.46</v>
      </c>
      <c r="T133" s="9" t="s">
        <v>29</v>
      </c>
      <c r="U133" s="9"/>
      <c r="V133" s="9"/>
      <c r="W133" s="9"/>
      <c r="X133" s="9"/>
      <c r="Y133" s="9"/>
      <c r="Z133" s="9"/>
      <c r="AA133" s="9"/>
      <c r="AB133" s="9"/>
    </row>
    <row r="134">
      <c r="A134" s="5">
        <v>41770.0</v>
      </c>
      <c r="B134" s="6">
        <v>2014.0</v>
      </c>
      <c r="C134" s="7" t="s">
        <v>74</v>
      </c>
      <c r="D134" s="7" t="s">
        <v>49</v>
      </c>
      <c r="E134" s="7" t="s">
        <v>41</v>
      </c>
      <c r="F134" s="6">
        <v>6173.0</v>
      </c>
      <c r="G134" s="6">
        <v>200407.28</v>
      </c>
      <c r="H134" s="6">
        <v>32.47</v>
      </c>
      <c r="I134" s="8">
        <v>34.97615745990604</v>
      </c>
      <c r="J134" s="6">
        <v>215907.82</v>
      </c>
      <c r="K134" s="6">
        <v>-15500.55</v>
      </c>
      <c r="L134" s="6">
        <v>-7.73</v>
      </c>
      <c r="M134" s="6">
        <f t="shared" si="1"/>
        <v>-2.511023813</v>
      </c>
      <c r="N134" s="6">
        <v>-7.73</v>
      </c>
      <c r="O134" s="7" t="s">
        <v>23</v>
      </c>
      <c r="P134" s="7" t="s">
        <v>46</v>
      </c>
      <c r="Q134" s="7" t="s">
        <v>25</v>
      </c>
      <c r="R134" s="10">
        <v>-33558.11</v>
      </c>
      <c r="S134" s="10">
        <v>18057.56</v>
      </c>
      <c r="T134" s="9" t="s">
        <v>33</v>
      </c>
      <c r="U134" s="9"/>
      <c r="V134" s="9"/>
      <c r="W134" s="9"/>
      <c r="X134" s="9"/>
      <c r="Y134" s="9"/>
      <c r="Z134" s="9"/>
      <c r="AA134" s="9"/>
      <c r="AB134" s="9"/>
    </row>
    <row r="135">
      <c r="A135" s="5">
        <v>41771.0</v>
      </c>
      <c r="B135" s="6">
        <v>2014.0</v>
      </c>
      <c r="C135" s="7" t="s">
        <v>74</v>
      </c>
      <c r="D135" s="7" t="s">
        <v>50</v>
      </c>
      <c r="E135" s="7" t="s">
        <v>22</v>
      </c>
      <c r="F135" s="6">
        <v>5653.0</v>
      </c>
      <c r="G135" s="6">
        <v>183413.71</v>
      </c>
      <c r="H135" s="6">
        <v>32.45</v>
      </c>
      <c r="I135" s="8">
        <v>34.996550504157085</v>
      </c>
      <c r="J135" s="6">
        <v>197835.5</v>
      </c>
      <c r="K135" s="6">
        <v>-14421.79</v>
      </c>
      <c r="L135" s="6">
        <v>-7.86</v>
      </c>
      <c r="M135" s="6">
        <f t="shared" si="1"/>
        <v>-2.551174598</v>
      </c>
      <c r="N135" s="6">
        <v>-7.86</v>
      </c>
      <c r="O135" s="7" t="s">
        <v>23</v>
      </c>
      <c r="P135" s="7" t="s">
        <v>46</v>
      </c>
      <c r="Q135" s="7" t="s">
        <v>25</v>
      </c>
      <c r="R135" s="10">
        <v>-15500.55</v>
      </c>
      <c r="S135" s="10">
        <v>1078.76</v>
      </c>
      <c r="T135" s="9" t="s">
        <v>33</v>
      </c>
      <c r="U135" s="9"/>
      <c r="V135" s="9"/>
      <c r="W135" s="9"/>
      <c r="X135" s="9"/>
      <c r="Y135" s="9"/>
      <c r="Z135" s="9"/>
      <c r="AA135" s="9"/>
      <c r="AB135" s="9"/>
    </row>
    <row r="136">
      <c r="A136" s="5">
        <v>41772.0</v>
      </c>
      <c r="B136" s="6">
        <v>2014.0</v>
      </c>
      <c r="C136" s="7" t="s">
        <v>74</v>
      </c>
      <c r="D136" s="7" t="s">
        <v>51</v>
      </c>
      <c r="E136" s="7" t="s">
        <v>28</v>
      </c>
      <c r="F136" s="6">
        <v>4503.0</v>
      </c>
      <c r="G136" s="6">
        <v>146166.6</v>
      </c>
      <c r="H136" s="6">
        <v>32.46</v>
      </c>
      <c r="I136" s="8">
        <v>35.019584721296916</v>
      </c>
      <c r="J136" s="6">
        <v>157693.19</v>
      </c>
      <c r="K136" s="6">
        <v>-11526.59</v>
      </c>
      <c r="L136" s="6">
        <v>-7.89</v>
      </c>
      <c r="M136" s="6">
        <f t="shared" si="1"/>
        <v>-2.559757939</v>
      </c>
      <c r="N136" s="6">
        <v>-7.89</v>
      </c>
      <c r="O136" s="7" t="s">
        <v>23</v>
      </c>
      <c r="P136" s="7" t="s">
        <v>46</v>
      </c>
      <c r="Q136" s="7" t="s">
        <v>25</v>
      </c>
      <c r="R136" s="10">
        <v>-14421.79</v>
      </c>
      <c r="S136" s="10">
        <v>2895.2</v>
      </c>
      <c r="T136" s="9" t="s">
        <v>33</v>
      </c>
      <c r="U136" s="9"/>
      <c r="V136" s="9"/>
      <c r="W136" s="9"/>
      <c r="X136" s="9"/>
      <c r="Y136" s="9"/>
      <c r="Z136" s="9"/>
      <c r="AA136" s="9"/>
      <c r="AB136" s="9"/>
    </row>
    <row r="137">
      <c r="A137" s="5">
        <v>41773.0</v>
      </c>
      <c r="B137" s="6">
        <v>2014.0</v>
      </c>
      <c r="C137" s="7" t="s">
        <v>74</v>
      </c>
      <c r="D137" s="7" t="s">
        <v>52</v>
      </c>
      <c r="E137" s="7" t="s">
        <v>32</v>
      </c>
      <c r="F137" s="6">
        <v>6253.0</v>
      </c>
      <c r="G137" s="6">
        <v>201120.73</v>
      </c>
      <c r="H137" s="6">
        <v>32.16</v>
      </c>
      <c r="I137" s="8">
        <v>34.87905965136734</v>
      </c>
      <c r="J137" s="6">
        <v>218098.76</v>
      </c>
      <c r="K137" s="6">
        <v>-16978.03</v>
      </c>
      <c r="L137" s="6">
        <v>-8.44</v>
      </c>
      <c r="M137" s="6">
        <f t="shared" si="1"/>
        <v>-2.715181513</v>
      </c>
      <c r="N137" s="6">
        <v>-8.44</v>
      </c>
      <c r="O137" s="7" t="s">
        <v>23</v>
      </c>
      <c r="P137" s="7" t="s">
        <v>46</v>
      </c>
      <c r="Q137" s="7" t="s">
        <v>25</v>
      </c>
      <c r="R137" s="10">
        <v>-11526.59</v>
      </c>
      <c r="S137" s="10">
        <v>-5451.45</v>
      </c>
      <c r="T137" s="9" t="s">
        <v>29</v>
      </c>
      <c r="U137" s="9"/>
      <c r="V137" s="9"/>
      <c r="W137" s="9"/>
      <c r="X137" s="9"/>
      <c r="Y137" s="9"/>
      <c r="Z137" s="9"/>
      <c r="AA137" s="9"/>
      <c r="AB137" s="9"/>
    </row>
    <row r="138">
      <c r="A138" s="5">
        <v>41774.0</v>
      </c>
      <c r="B138" s="6">
        <v>2014.0</v>
      </c>
      <c r="C138" s="7" t="s">
        <v>74</v>
      </c>
      <c r="D138" s="7" t="s">
        <v>53</v>
      </c>
      <c r="E138" s="7" t="s">
        <v>35</v>
      </c>
      <c r="F138" s="6">
        <v>8408.0</v>
      </c>
      <c r="G138" s="6">
        <v>270123.55</v>
      </c>
      <c r="H138" s="6">
        <v>32.13</v>
      </c>
      <c r="I138" s="8">
        <v>34.47488106565176</v>
      </c>
      <c r="J138" s="6">
        <v>289864.8</v>
      </c>
      <c r="K138" s="6">
        <v>-19741.25</v>
      </c>
      <c r="L138" s="6">
        <v>-7.31</v>
      </c>
      <c r="M138" s="6">
        <f t="shared" si="1"/>
        <v>-2.347912702</v>
      </c>
      <c r="N138" s="6">
        <v>-7.31</v>
      </c>
      <c r="O138" s="7" t="s">
        <v>23</v>
      </c>
      <c r="P138" s="7" t="s">
        <v>46</v>
      </c>
      <c r="Q138" s="7" t="s">
        <v>25</v>
      </c>
      <c r="R138" s="10">
        <v>-16978.03</v>
      </c>
      <c r="S138" s="10">
        <v>-2763.21</v>
      </c>
      <c r="T138" s="9" t="s">
        <v>29</v>
      </c>
      <c r="U138" s="9"/>
      <c r="V138" s="9"/>
      <c r="W138" s="9"/>
      <c r="X138" s="9"/>
      <c r="Y138" s="9"/>
      <c r="Z138" s="9"/>
      <c r="AA138" s="9"/>
      <c r="AB138" s="9"/>
    </row>
    <row r="139">
      <c r="A139" s="5">
        <v>41775.0</v>
      </c>
      <c r="B139" s="6">
        <v>2014.0</v>
      </c>
      <c r="C139" s="7" t="s">
        <v>74</v>
      </c>
      <c r="D139" s="7" t="s">
        <v>54</v>
      </c>
      <c r="E139" s="7" t="s">
        <v>37</v>
      </c>
      <c r="F139" s="6">
        <v>12949.0</v>
      </c>
      <c r="G139" s="6">
        <v>415315.38</v>
      </c>
      <c r="H139" s="6">
        <v>32.07</v>
      </c>
      <c r="I139" s="8">
        <v>34.11775194995753</v>
      </c>
      <c r="J139" s="6">
        <v>441790.77</v>
      </c>
      <c r="K139" s="6">
        <v>-26475.38</v>
      </c>
      <c r="L139" s="6">
        <v>-6.37</v>
      </c>
      <c r="M139" s="6">
        <f t="shared" si="1"/>
        <v>-2.044588771</v>
      </c>
      <c r="N139" s="6">
        <v>-6.37</v>
      </c>
      <c r="O139" s="7" t="s">
        <v>23</v>
      </c>
      <c r="P139" s="7" t="s">
        <v>46</v>
      </c>
      <c r="Q139" s="7" t="s">
        <v>25</v>
      </c>
      <c r="R139" s="10">
        <v>-19741.25</v>
      </c>
      <c r="S139" s="10">
        <v>-6734.14</v>
      </c>
      <c r="T139" s="9" t="s">
        <v>29</v>
      </c>
      <c r="U139" s="9"/>
      <c r="V139" s="9"/>
      <c r="W139" s="9"/>
      <c r="X139" s="9"/>
      <c r="Y139" s="9"/>
      <c r="Z139" s="9"/>
      <c r="AA139" s="9"/>
      <c r="AB139" s="9"/>
    </row>
    <row r="140">
      <c r="A140" s="5">
        <v>41776.0</v>
      </c>
      <c r="B140" s="6">
        <v>2014.0</v>
      </c>
      <c r="C140" s="7" t="s">
        <v>74</v>
      </c>
      <c r="D140" s="7" t="s">
        <v>55</v>
      </c>
      <c r="E140" s="7" t="s">
        <v>39</v>
      </c>
      <c r="F140" s="6">
        <v>15508.0</v>
      </c>
      <c r="G140" s="6">
        <v>498717.0</v>
      </c>
      <c r="H140" s="6">
        <v>32.16</v>
      </c>
      <c r="I140" s="8">
        <v>33.963591694609235</v>
      </c>
      <c r="J140" s="6">
        <v>526707.38</v>
      </c>
      <c r="K140" s="6">
        <v>-27990.38</v>
      </c>
      <c r="L140" s="6">
        <v>-5.61</v>
      </c>
      <c r="M140" s="6">
        <f t="shared" si="1"/>
        <v>-1.804899407</v>
      </c>
      <c r="N140" s="6">
        <v>-5.61</v>
      </c>
      <c r="O140" s="7" t="s">
        <v>23</v>
      </c>
      <c r="P140" s="7" t="s">
        <v>46</v>
      </c>
      <c r="Q140" s="7" t="s">
        <v>25</v>
      </c>
      <c r="R140" s="10">
        <v>-26475.38</v>
      </c>
      <c r="S140" s="10">
        <v>-1515.0</v>
      </c>
      <c r="T140" s="9" t="s">
        <v>29</v>
      </c>
      <c r="U140" s="9"/>
      <c r="V140" s="9"/>
      <c r="W140" s="9"/>
      <c r="X140" s="9"/>
      <c r="Y140" s="9"/>
      <c r="Z140" s="9"/>
      <c r="AA140" s="9"/>
      <c r="AB140" s="9"/>
    </row>
    <row r="141">
      <c r="A141" s="5">
        <v>41777.0</v>
      </c>
      <c r="B141" s="6">
        <v>2014.0</v>
      </c>
      <c r="C141" s="7" t="s">
        <v>74</v>
      </c>
      <c r="D141" s="7" t="s">
        <v>56</v>
      </c>
      <c r="E141" s="7" t="s">
        <v>41</v>
      </c>
      <c r="F141" s="6">
        <v>5141.0</v>
      </c>
      <c r="G141" s="6">
        <v>166433.17</v>
      </c>
      <c r="H141" s="6">
        <v>32.37</v>
      </c>
      <c r="I141" s="8">
        <v>33.91881540556312</v>
      </c>
      <c r="J141" s="6">
        <v>174376.63</v>
      </c>
      <c r="K141" s="6">
        <v>-7943.46</v>
      </c>
      <c r="L141" s="6">
        <v>-4.77</v>
      </c>
      <c r="M141" s="6">
        <f t="shared" si="1"/>
        <v>-1.545119627</v>
      </c>
      <c r="N141" s="6">
        <v>-4.77</v>
      </c>
      <c r="O141" s="7" t="s">
        <v>23</v>
      </c>
      <c r="P141" s="7" t="s">
        <v>46</v>
      </c>
      <c r="Q141" s="7" t="s">
        <v>25</v>
      </c>
      <c r="R141" s="10">
        <v>-27990.38</v>
      </c>
      <c r="S141" s="10">
        <v>20046.92</v>
      </c>
      <c r="T141" s="9" t="s">
        <v>33</v>
      </c>
      <c r="U141" s="9"/>
      <c r="V141" s="9"/>
      <c r="W141" s="9"/>
      <c r="X141" s="9"/>
      <c r="Y141" s="9"/>
      <c r="Z141" s="9"/>
      <c r="AA141" s="9"/>
      <c r="AB141" s="9"/>
    </row>
    <row r="142">
      <c r="A142" s="5">
        <v>41778.0</v>
      </c>
      <c r="B142" s="6">
        <v>2014.0</v>
      </c>
      <c r="C142" s="7" t="s">
        <v>74</v>
      </c>
      <c r="D142" s="7" t="s">
        <v>57</v>
      </c>
      <c r="E142" s="7" t="s">
        <v>22</v>
      </c>
      <c r="F142" s="6">
        <v>5194.0</v>
      </c>
      <c r="G142" s="6">
        <v>168520.63</v>
      </c>
      <c r="H142" s="6">
        <v>32.45</v>
      </c>
      <c r="I142" s="8">
        <v>33.796711590296496</v>
      </c>
      <c r="J142" s="6">
        <v>175540.12</v>
      </c>
      <c r="K142" s="6">
        <v>-7019.49</v>
      </c>
      <c r="L142" s="6">
        <v>-4.17</v>
      </c>
      <c r="M142" s="6">
        <f t="shared" si="1"/>
        <v>-1.351461302</v>
      </c>
      <c r="N142" s="6">
        <v>-4.17</v>
      </c>
      <c r="O142" s="7" t="s">
        <v>23</v>
      </c>
      <c r="P142" s="7" t="s">
        <v>46</v>
      </c>
      <c r="Q142" s="7" t="s">
        <v>25</v>
      </c>
      <c r="R142" s="10">
        <v>-7943.46</v>
      </c>
      <c r="S142" s="10">
        <v>923.97</v>
      </c>
      <c r="T142" s="9" t="s">
        <v>33</v>
      </c>
      <c r="U142" s="9"/>
      <c r="V142" s="9"/>
      <c r="W142" s="9"/>
      <c r="X142" s="9"/>
      <c r="Y142" s="9"/>
      <c r="Z142" s="9"/>
      <c r="AA142" s="9"/>
      <c r="AB142" s="9"/>
    </row>
    <row r="143">
      <c r="A143" s="5">
        <v>41779.0</v>
      </c>
      <c r="B143" s="6">
        <v>2014.0</v>
      </c>
      <c r="C143" s="7" t="s">
        <v>74</v>
      </c>
      <c r="D143" s="7" t="s">
        <v>58</v>
      </c>
      <c r="E143" s="7" t="s">
        <v>28</v>
      </c>
      <c r="F143" s="6">
        <v>5550.0</v>
      </c>
      <c r="G143" s="6">
        <v>178123.53</v>
      </c>
      <c r="H143" s="6">
        <v>32.09</v>
      </c>
      <c r="I143" s="8">
        <v>33.828499099099105</v>
      </c>
      <c r="J143" s="6">
        <v>187748.17</v>
      </c>
      <c r="K143" s="6">
        <v>-9624.64</v>
      </c>
      <c r="L143" s="6">
        <v>-5.4</v>
      </c>
      <c r="M143" s="6">
        <f t="shared" si="1"/>
        <v>-1.734169369</v>
      </c>
      <c r="N143" s="6">
        <v>-5.4</v>
      </c>
      <c r="O143" s="7" t="s">
        <v>23</v>
      </c>
      <c r="P143" s="7" t="s">
        <v>46</v>
      </c>
      <c r="Q143" s="7" t="s">
        <v>25</v>
      </c>
      <c r="R143" s="10">
        <v>-7019.49</v>
      </c>
      <c r="S143" s="10">
        <v>-2605.15</v>
      </c>
      <c r="T143" s="9" t="s">
        <v>29</v>
      </c>
      <c r="U143" s="9"/>
      <c r="V143" s="9"/>
      <c r="W143" s="9"/>
      <c r="X143" s="9"/>
      <c r="Y143" s="9"/>
      <c r="Z143" s="9"/>
      <c r="AA143" s="9"/>
      <c r="AB143" s="9"/>
    </row>
    <row r="144">
      <c r="A144" s="5">
        <v>41780.0</v>
      </c>
      <c r="B144" s="6">
        <v>2014.0</v>
      </c>
      <c r="C144" s="7" t="s">
        <v>74</v>
      </c>
      <c r="D144" s="7" t="s">
        <v>59</v>
      </c>
      <c r="E144" s="7" t="s">
        <v>32</v>
      </c>
      <c r="F144" s="6">
        <v>6070.0</v>
      </c>
      <c r="G144" s="6">
        <v>194878.8</v>
      </c>
      <c r="H144" s="6">
        <v>32.11</v>
      </c>
      <c r="I144" s="8">
        <v>33.68380065897858</v>
      </c>
      <c r="J144" s="6">
        <v>204460.67</v>
      </c>
      <c r="K144" s="6">
        <v>-9581.86</v>
      </c>
      <c r="L144" s="6">
        <v>-4.92</v>
      </c>
      <c r="M144" s="6">
        <f t="shared" si="1"/>
        <v>-1.578560132</v>
      </c>
      <c r="N144" s="6">
        <v>-4.92</v>
      </c>
      <c r="O144" s="7" t="s">
        <v>23</v>
      </c>
      <c r="P144" s="7" t="s">
        <v>46</v>
      </c>
      <c r="Q144" s="7" t="s">
        <v>25</v>
      </c>
      <c r="R144" s="10">
        <v>-9624.64</v>
      </c>
      <c r="S144" s="10">
        <v>42.78</v>
      </c>
      <c r="T144" s="9" t="s">
        <v>33</v>
      </c>
      <c r="U144" s="9"/>
      <c r="V144" s="9"/>
      <c r="W144" s="9"/>
      <c r="X144" s="9"/>
      <c r="Y144" s="9"/>
      <c r="Z144" s="9"/>
      <c r="AA144" s="9"/>
      <c r="AB144" s="9"/>
    </row>
    <row r="145">
      <c r="A145" s="5">
        <v>41781.0</v>
      </c>
      <c r="B145" s="6">
        <v>2014.0</v>
      </c>
      <c r="C145" s="7" t="s">
        <v>74</v>
      </c>
      <c r="D145" s="7" t="s">
        <v>60</v>
      </c>
      <c r="E145" s="7" t="s">
        <v>35</v>
      </c>
      <c r="F145" s="6">
        <v>3421.0</v>
      </c>
      <c r="G145" s="6">
        <v>115475.1</v>
      </c>
      <c r="H145" s="6">
        <v>33.75</v>
      </c>
      <c r="I145" s="8">
        <v>33.619210757088574</v>
      </c>
      <c r="J145" s="6">
        <v>115011.32</v>
      </c>
      <c r="K145" s="6">
        <v>463.77</v>
      </c>
      <c r="L145" s="6">
        <v>0.4</v>
      </c>
      <c r="M145" s="6">
        <f t="shared" si="1"/>
        <v>0.1355656241</v>
      </c>
      <c r="N145" s="6">
        <v>0.4</v>
      </c>
      <c r="O145" s="7" t="s">
        <v>45</v>
      </c>
      <c r="P145" s="7" t="s">
        <v>46</v>
      </c>
      <c r="Q145" s="7" t="s">
        <v>25</v>
      </c>
      <c r="R145" s="10">
        <v>-9581.86</v>
      </c>
      <c r="S145" s="10">
        <v>10045.64</v>
      </c>
      <c r="T145" s="9" t="s">
        <v>33</v>
      </c>
      <c r="U145" s="9"/>
      <c r="V145" s="9"/>
      <c r="W145" s="9"/>
      <c r="X145" s="9"/>
      <c r="Y145" s="9"/>
      <c r="Z145" s="9"/>
      <c r="AA145" s="9"/>
      <c r="AB145" s="9"/>
    </row>
    <row r="146">
      <c r="A146" s="5">
        <v>41782.0</v>
      </c>
      <c r="B146" s="6">
        <v>2014.0</v>
      </c>
      <c r="C146" s="7" t="s">
        <v>74</v>
      </c>
      <c r="D146" s="7" t="s">
        <v>61</v>
      </c>
      <c r="E146" s="7" t="s">
        <v>37</v>
      </c>
      <c r="F146" s="6">
        <v>13384.0</v>
      </c>
      <c r="G146" s="6">
        <v>430521.02</v>
      </c>
      <c r="H146" s="6">
        <v>32.17</v>
      </c>
      <c r="I146" s="8">
        <v>33.56800582785415</v>
      </c>
      <c r="J146" s="6">
        <v>449274.19</v>
      </c>
      <c r="K146" s="6">
        <v>-18753.16</v>
      </c>
      <c r="L146" s="6">
        <v>-4.36</v>
      </c>
      <c r="M146" s="6">
        <f t="shared" si="1"/>
        <v>-1.401162582</v>
      </c>
      <c r="N146" s="6">
        <v>-4.36</v>
      </c>
      <c r="O146" s="7" t="s">
        <v>23</v>
      </c>
      <c r="P146" s="7" t="s">
        <v>46</v>
      </c>
      <c r="Q146" s="7" t="s">
        <v>25</v>
      </c>
      <c r="R146" s="10">
        <v>463.77</v>
      </c>
      <c r="S146" s="10">
        <v>-19216.94</v>
      </c>
      <c r="T146" s="9" t="s">
        <v>29</v>
      </c>
      <c r="U146" s="9"/>
      <c r="V146" s="9"/>
      <c r="W146" s="9"/>
      <c r="X146" s="9"/>
      <c r="Y146" s="9"/>
      <c r="Z146" s="9"/>
      <c r="AA146" s="9"/>
      <c r="AB146" s="9"/>
    </row>
    <row r="147">
      <c r="A147" s="5">
        <v>41783.0</v>
      </c>
      <c r="B147" s="6">
        <v>2014.0</v>
      </c>
      <c r="C147" s="7" t="s">
        <v>74</v>
      </c>
      <c r="D147" s="7" t="s">
        <v>62</v>
      </c>
      <c r="E147" s="7" t="s">
        <v>39</v>
      </c>
      <c r="F147" s="6">
        <v>18356.0</v>
      </c>
      <c r="G147" s="6">
        <v>590642.83</v>
      </c>
      <c r="H147" s="6">
        <v>32.18</v>
      </c>
      <c r="I147" s="8">
        <v>33.46294345173241</v>
      </c>
      <c r="J147" s="6">
        <v>614245.79</v>
      </c>
      <c r="K147" s="6">
        <v>-23602.97</v>
      </c>
      <c r="L147" s="6">
        <v>-4.0</v>
      </c>
      <c r="M147" s="6">
        <f t="shared" si="1"/>
        <v>-1.285844955</v>
      </c>
      <c r="N147" s="6">
        <v>-4.0</v>
      </c>
      <c r="O147" s="7" t="s">
        <v>23</v>
      </c>
      <c r="P147" s="7" t="s">
        <v>46</v>
      </c>
      <c r="Q147" s="7" t="s">
        <v>25</v>
      </c>
      <c r="R147" s="10">
        <v>-18753.16</v>
      </c>
      <c r="S147" s="10">
        <v>-4849.81</v>
      </c>
      <c r="T147" s="9" t="s">
        <v>29</v>
      </c>
      <c r="U147" s="9"/>
      <c r="V147" s="9"/>
      <c r="W147" s="9"/>
      <c r="X147" s="9"/>
      <c r="Y147" s="9"/>
      <c r="Z147" s="9"/>
      <c r="AA147" s="9"/>
      <c r="AB147" s="9"/>
    </row>
    <row r="148">
      <c r="A148" s="5">
        <v>41784.0</v>
      </c>
      <c r="B148" s="6">
        <v>2014.0</v>
      </c>
      <c r="C148" s="7" t="s">
        <v>74</v>
      </c>
      <c r="D148" s="7" t="s">
        <v>63</v>
      </c>
      <c r="E148" s="7" t="s">
        <v>41</v>
      </c>
      <c r="F148" s="6">
        <v>6500.0</v>
      </c>
      <c r="G148" s="6">
        <v>210764.72</v>
      </c>
      <c r="H148" s="6">
        <v>32.43</v>
      </c>
      <c r="I148" s="8">
        <v>33.44068615384615</v>
      </c>
      <c r="J148" s="6">
        <v>217364.46</v>
      </c>
      <c r="K148" s="6">
        <v>-6599.75</v>
      </c>
      <c r="L148" s="6">
        <v>-3.13</v>
      </c>
      <c r="M148" s="6">
        <f t="shared" si="1"/>
        <v>-1.015346154</v>
      </c>
      <c r="N148" s="6">
        <v>-3.13</v>
      </c>
      <c r="O148" s="7" t="s">
        <v>23</v>
      </c>
      <c r="P148" s="7" t="s">
        <v>46</v>
      </c>
      <c r="Q148" s="7" t="s">
        <v>25</v>
      </c>
      <c r="R148" s="10">
        <v>-23602.97</v>
      </c>
      <c r="S148" s="10">
        <v>17003.22</v>
      </c>
      <c r="T148" s="9" t="s">
        <v>33</v>
      </c>
      <c r="U148" s="9"/>
      <c r="V148" s="9"/>
      <c r="W148" s="9"/>
      <c r="X148" s="9"/>
      <c r="Y148" s="9"/>
      <c r="Z148" s="9"/>
      <c r="AA148" s="9"/>
      <c r="AB148" s="9"/>
    </row>
    <row r="149">
      <c r="A149" s="5">
        <v>41785.0</v>
      </c>
      <c r="B149" s="6">
        <v>2014.0</v>
      </c>
      <c r="C149" s="7" t="s">
        <v>74</v>
      </c>
      <c r="D149" s="7" t="s">
        <v>64</v>
      </c>
      <c r="E149" s="7" t="s">
        <v>22</v>
      </c>
      <c r="F149" s="6">
        <v>6752.0</v>
      </c>
      <c r="G149" s="6">
        <v>218189.35</v>
      </c>
      <c r="H149" s="6">
        <v>32.31</v>
      </c>
      <c r="I149" s="8">
        <v>33.41344786729858</v>
      </c>
      <c r="J149" s="6">
        <v>225607.6</v>
      </c>
      <c r="K149" s="6">
        <v>-7418.25</v>
      </c>
      <c r="L149" s="6">
        <v>-3.4</v>
      </c>
      <c r="M149" s="6">
        <f t="shared" si="1"/>
        <v>-1.098674467</v>
      </c>
      <c r="N149" s="6">
        <v>-3.4</v>
      </c>
      <c r="O149" s="7" t="s">
        <v>23</v>
      </c>
      <c r="P149" s="7" t="s">
        <v>46</v>
      </c>
      <c r="Q149" s="7" t="s">
        <v>25</v>
      </c>
      <c r="R149" s="10">
        <v>-6599.75</v>
      </c>
      <c r="S149" s="10">
        <v>-818.5</v>
      </c>
      <c r="T149" s="9" t="s">
        <v>29</v>
      </c>
      <c r="U149" s="9"/>
      <c r="V149" s="9"/>
      <c r="W149" s="9"/>
      <c r="X149" s="9"/>
      <c r="Y149" s="9"/>
      <c r="Z149" s="9"/>
      <c r="AA149" s="9"/>
      <c r="AB149" s="9"/>
    </row>
    <row r="150">
      <c r="A150" s="5">
        <v>41786.0</v>
      </c>
      <c r="B150" s="6">
        <v>2014.0</v>
      </c>
      <c r="C150" s="7" t="s">
        <v>74</v>
      </c>
      <c r="D150" s="7" t="s">
        <v>65</v>
      </c>
      <c r="E150" s="7" t="s">
        <v>28</v>
      </c>
      <c r="F150" s="6">
        <v>7023.0</v>
      </c>
      <c r="G150" s="6">
        <v>226132.46</v>
      </c>
      <c r="H150" s="6">
        <v>32.2</v>
      </c>
      <c r="I150" s="8">
        <v>33.389792111633206</v>
      </c>
      <c r="J150" s="6">
        <v>234496.51</v>
      </c>
      <c r="K150" s="6">
        <v>-8364.05</v>
      </c>
      <c r="L150" s="6">
        <v>-3.7</v>
      </c>
      <c r="M150" s="6">
        <f t="shared" si="1"/>
        <v>-1.19095116</v>
      </c>
      <c r="N150" s="6">
        <v>-3.7</v>
      </c>
      <c r="O150" s="7" t="s">
        <v>23</v>
      </c>
      <c r="P150" s="7" t="s">
        <v>46</v>
      </c>
      <c r="Q150" s="7" t="s">
        <v>25</v>
      </c>
      <c r="R150" s="10">
        <v>-7418.25</v>
      </c>
      <c r="S150" s="10">
        <v>-945.8</v>
      </c>
      <c r="T150" s="9" t="s">
        <v>29</v>
      </c>
      <c r="U150" s="9"/>
      <c r="V150" s="9"/>
      <c r="W150" s="9"/>
      <c r="X150" s="9"/>
      <c r="Y150" s="9"/>
      <c r="Z150" s="9"/>
      <c r="AA150" s="9"/>
      <c r="AB150" s="9"/>
    </row>
    <row r="151">
      <c r="A151" s="5">
        <v>41787.0</v>
      </c>
      <c r="B151" s="6">
        <v>2014.0</v>
      </c>
      <c r="C151" s="7" t="s">
        <v>74</v>
      </c>
      <c r="D151" s="7" t="s">
        <v>66</v>
      </c>
      <c r="E151" s="7" t="s">
        <v>32</v>
      </c>
      <c r="F151" s="6">
        <v>7579.0</v>
      </c>
      <c r="G151" s="6">
        <v>243720.87</v>
      </c>
      <c r="H151" s="6">
        <v>32.16</v>
      </c>
      <c r="I151" s="8">
        <v>33.37238290011875</v>
      </c>
      <c r="J151" s="6">
        <v>252929.29</v>
      </c>
      <c r="K151" s="6">
        <v>-9208.43</v>
      </c>
      <c r="L151" s="6">
        <v>-3.78</v>
      </c>
      <c r="M151" s="6">
        <f t="shared" si="1"/>
        <v>-1.214992743</v>
      </c>
      <c r="N151" s="6">
        <v>-3.78</v>
      </c>
      <c r="O151" s="7" t="s">
        <v>23</v>
      </c>
      <c r="P151" s="7" t="s">
        <v>46</v>
      </c>
      <c r="Q151" s="7" t="s">
        <v>25</v>
      </c>
      <c r="R151" s="10">
        <v>-8364.05</v>
      </c>
      <c r="S151" s="10">
        <v>-844.38</v>
      </c>
      <c r="T151" s="9" t="s">
        <v>29</v>
      </c>
      <c r="U151" s="9"/>
      <c r="V151" s="9"/>
      <c r="W151" s="9"/>
      <c r="X151" s="9"/>
      <c r="Y151" s="9"/>
      <c r="Z151" s="9"/>
      <c r="AA151" s="9"/>
      <c r="AB151" s="9"/>
    </row>
    <row r="152">
      <c r="A152" s="5">
        <v>41788.0</v>
      </c>
      <c r="B152" s="6">
        <v>2014.0</v>
      </c>
      <c r="C152" s="7" t="s">
        <v>74</v>
      </c>
      <c r="D152" s="7" t="s">
        <v>67</v>
      </c>
      <c r="E152" s="7" t="s">
        <v>35</v>
      </c>
      <c r="F152" s="6">
        <v>6448.0</v>
      </c>
      <c r="G152" s="6">
        <v>207429.43</v>
      </c>
      <c r="H152" s="6">
        <v>32.17</v>
      </c>
      <c r="I152" s="8">
        <v>33.36210452853598</v>
      </c>
      <c r="J152" s="6">
        <v>215118.85</v>
      </c>
      <c r="K152" s="6">
        <v>-7689.42</v>
      </c>
      <c r="L152" s="6">
        <v>-3.71</v>
      </c>
      <c r="M152" s="6">
        <f t="shared" si="1"/>
        <v>-1.192527916</v>
      </c>
      <c r="N152" s="6">
        <v>-3.71</v>
      </c>
      <c r="O152" s="7" t="s">
        <v>23</v>
      </c>
      <c r="P152" s="7" t="s">
        <v>46</v>
      </c>
      <c r="Q152" s="7" t="s">
        <v>25</v>
      </c>
      <c r="R152" s="10">
        <v>-9208.43</v>
      </c>
      <c r="S152" s="10">
        <v>1519.01</v>
      </c>
      <c r="T152" s="9" t="s">
        <v>33</v>
      </c>
      <c r="U152" s="9"/>
      <c r="V152" s="9"/>
      <c r="W152" s="9"/>
      <c r="X152" s="9"/>
      <c r="Y152" s="9"/>
      <c r="Z152" s="9"/>
      <c r="AA152" s="9"/>
      <c r="AB152" s="9"/>
    </row>
    <row r="153">
      <c r="A153" s="5">
        <v>41789.0</v>
      </c>
      <c r="B153" s="6">
        <v>2014.0</v>
      </c>
      <c r="C153" s="7" t="s">
        <v>74</v>
      </c>
      <c r="D153" s="7" t="s">
        <v>21</v>
      </c>
      <c r="E153" s="7" t="s">
        <v>37</v>
      </c>
      <c r="F153" s="6">
        <v>15637.0</v>
      </c>
      <c r="G153" s="6">
        <v>503149.43</v>
      </c>
      <c r="H153" s="6">
        <v>32.18</v>
      </c>
      <c r="I153" s="8">
        <v>33.36004924218201</v>
      </c>
      <c r="J153" s="6">
        <v>521651.09</v>
      </c>
      <c r="K153" s="6">
        <v>-18501.65</v>
      </c>
      <c r="L153" s="6">
        <v>-3.68</v>
      </c>
      <c r="M153" s="6">
        <f t="shared" si="1"/>
        <v>-1.183196905</v>
      </c>
      <c r="N153" s="6">
        <v>-3.68</v>
      </c>
      <c r="O153" s="7" t="s">
        <v>23</v>
      </c>
      <c r="P153" s="7" t="s">
        <v>46</v>
      </c>
      <c r="Q153" s="7" t="s">
        <v>25</v>
      </c>
      <c r="R153" s="10">
        <v>-7689.42</v>
      </c>
      <c r="S153" s="10">
        <v>-10812.24</v>
      </c>
      <c r="T153" s="9" t="s">
        <v>29</v>
      </c>
      <c r="U153" s="9"/>
      <c r="V153" s="9"/>
      <c r="W153" s="9"/>
      <c r="X153" s="9"/>
      <c r="Y153" s="9"/>
      <c r="Z153" s="9"/>
      <c r="AA153" s="9"/>
      <c r="AB153" s="9"/>
    </row>
    <row r="154">
      <c r="A154" s="5">
        <v>41790.0</v>
      </c>
      <c r="B154" s="6">
        <v>2014.0</v>
      </c>
      <c r="C154" s="7" t="s">
        <v>74</v>
      </c>
      <c r="D154" s="7" t="s">
        <v>27</v>
      </c>
      <c r="E154" s="7" t="s">
        <v>39</v>
      </c>
      <c r="F154" s="6">
        <v>18775.0</v>
      </c>
      <c r="G154" s="6">
        <v>603748.79</v>
      </c>
      <c r="H154" s="6">
        <v>32.16</v>
      </c>
      <c r="I154" s="8">
        <v>33.35602609853529</v>
      </c>
      <c r="J154" s="6">
        <v>626259.39</v>
      </c>
      <c r="K154" s="6">
        <v>-22510.6</v>
      </c>
      <c r="L154" s="6">
        <v>-3.73</v>
      </c>
      <c r="M154" s="6">
        <f t="shared" si="1"/>
        <v>-1.198966711</v>
      </c>
      <c r="N154" s="6">
        <v>-3.73</v>
      </c>
      <c r="O154" s="7" t="s">
        <v>23</v>
      </c>
      <c r="P154" s="7" t="s">
        <v>46</v>
      </c>
      <c r="Q154" s="7" t="s">
        <v>25</v>
      </c>
      <c r="R154" s="10">
        <v>-18501.65</v>
      </c>
      <c r="S154" s="10">
        <v>-4008.94</v>
      </c>
      <c r="T154" s="9" t="s">
        <v>29</v>
      </c>
      <c r="U154" s="9"/>
      <c r="V154" s="9"/>
      <c r="W154" s="9"/>
      <c r="X154" s="9"/>
      <c r="Y154" s="9"/>
      <c r="Z154" s="9"/>
      <c r="AA154" s="9"/>
      <c r="AB154" s="9"/>
    </row>
    <row r="155">
      <c r="A155" s="5">
        <v>41791.0</v>
      </c>
      <c r="B155" s="6">
        <v>2014.0</v>
      </c>
      <c r="C155" s="7" t="s">
        <v>75</v>
      </c>
      <c r="D155" s="7" t="s">
        <v>31</v>
      </c>
      <c r="E155" s="7" t="s">
        <v>41</v>
      </c>
      <c r="F155" s="6">
        <v>14188.0</v>
      </c>
      <c r="G155" s="6">
        <v>456017.46</v>
      </c>
      <c r="H155" s="6">
        <v>32.14</v>
      </c>
      <c r="I155" s="8">
        <v>33.353818720045105</v>
      </c>
      <c r="J155" s="6">
        <v>473223.98</v>
      </c>
      <c r="K155" s="6">
        <v>-17206.52</v>
      </c>
      <c r="L155" s="6">
        <v>-3.77</v>
      </c>
      <c r="M155" s="6">
        <f t="shared" si="1"/>
        <v>-1.212751621</v>
      </c>
      <c r="N155" s="6">
        <v>-3.77</v>
      </c>
      <c r="O155" s="7" t="s">
        <v>23</v>
      </c>
      <c r="P155" s="7" t="s">
        <v>46</v>
      </c>
      <c r="Q155" s="7" t="s">
        <v>25</v>
      </c>
      <c r="R155" s="10">
        <v>-22510.6</v>
      </c>
      <c r="S155" s="10">
        <v>5304.08</v>
      </c>
      <c r="T155" s="9" t="s">
        <v>33</v>
      </c>
      <c r="U155" s="9"/>
      <c r="V155" s="9"/>
      <c r="W155" s="9"/>
      <c r="X155" s="9"/>
      <c r="Y155" s="9"/>
      <c r="Z155" s="9"/>
      <c r="AA155" s="9"/>
      <c r="AB155" s="9"/>
    </row>
    <row r="156">
      <c r="A156" s="5">
        <v>41792.0</v>
      </c>
      <c r="B156" s="6">
        <v>2014.0</v>
      </c>
      <c r="C156" s="7" t="s">
        <v>75</v>
      </c>
      <c r="D156" s="7" t="s">
        <v>34</v>
      </c>
      <c r="E156" s="7" t="s">
        <v>22</v>
      </c>
      <c r="F156" s="6">
        <v>13256.0</v>
      </c>
      <c r="G156" s="6">
        <v>425845.2</v>
      </c>
      <c r="H156" s="6">
        <v>32.12</v>
      </c>
      <c r="I156" s="8">
        <v>33.355159173204584</v>
      </c>
      <c r="J156" s="6">
        <v>442155.99</v>
      </c>
      <c r="K156" s="6">
        <v>-16310.8</v>
      </c>
      <c r="L156" s="6">
        <v>-3.83</v>
      </c>
      <c r="M156" s="6">
        <f t="shared" si="1"/>
        <v>-1.23044659</v>
      </c>
      <c r="N156" s="6">
        <v>-3.83</v>
      </c>
      <c r="O156" s="7" t="s">
        <v>23</v>
      </c>
      <c r="P156" s="7" t="s">
        <v>46</v>
      </c>
      <c r="Q156" s="7" t="s">
        <v>25</v>
      </c>
      <c r="R156" s="10">
        <v>-17206.52</v>
      </c>
      <c r="S156" s="10">
        <v>895.72</v>
      </c>
      <c r="T156" s="9" t="s">
        <v>33</v>
      </c>
      <c r="U156" s="9"/>
      <c r="V156" s="9"/>
      <c r="W156" s="9"/>
      <c r="X156" s="9"/>
      <c r="Y156" s="9"/>
      <c r="Z156" s="9"/>
      <c r="AA156" s="9"/>
      <c r="AB156" s="9"/>
    </row>
    <row r="157">
      <c r="A157" s="5">
        <v>41793.0</v>
      </c>
      <c r="B157" s="6">
        <v>2014.0</v>
      </c>
      <c r="C157" s="7" t="s">
        <v>75</v>
      </c>
      <c r="D157" s="7" t="s">
        <v>36</v>
      </c>
      <c r="E157" s="7" t="s">
        <v>28</v>
      </c>
      <c r="F157" s="6">
        <v>10223.0</v>
      </c>
      <c r="G157" s="6">
        <v>328217.77</v>
      </c>
      <c r="H157" s="6">
        <v>32.11</v>
      </c>
      <c r="I157" s="8">
        <v>33.34770517460628</v>
      </c>
      <c r="J157" s="6">
        <v>340913.59</v>
      </c>
      <c r="K157" s="6">
        <v>-12695.82</v>
      </c>
      <c r="L157" s="6">
        <v>-3.87</v>
      </c>
      <c r="M157" s="6">
        <f t="shared" si="1"/>
        <v>-1.2418879</v>
      </c>
      <c r="N157" s="6">
        <v>-3.87</v>
      </c>
      <c r="O157" s="7" t="s">
        <v>23</v>
      </c>
      <c r="P157" s="7" t="s">
        <v>46</v>
      </c>
      <c r="Q157" s="7" t="s">
        <v>25</v>
      </c>
      <c r="R157" s="10">
        <v>-16310.8</v>
      </c>
      <c r="S157" s="10">
        <v>3614.97</v>
      </c>
      <c r="T157" s="9" t="s">
        <v>33</v>
      </c>
      <c r="U157" s="9"/>
      <c r="V157" s="9"/>
      <c r="W157" s="9"/>
      <c r="X157" s="9"/>
      <c r="Y157" s="9"/>
      <c r="Z157" s="9"/>
      <c r="AA157" s="9"/>
      <c r="AB157" s="9"/>
    </row>
    <row r="158">
      <c r="A158" s="5">
        <v>41794.0</v>
      </c>
      <c r="B158" s="6">
        <v>2014.0</v>
      </c>
      <c r="C158" s="7" t="s">
        <v>75</v>
      </c>
      <c r="D158" s="7" t="s">
        <v>38</v>
      </c>
      <c r="E158" s="7" t="s">
        <v>32</v>
      </c>
      <c r="F158" s="6">
        <v>8904.0</v>
      </c>
      <c r="G158" s="6">
        <v>286406.0</v>
      </c>
      <c r="H158" s="6">
        <v>32.17</v>
      </c>
      <c r="I158" s="8">
        <v>33.34486410601976</v>
      </c>
      <c r="J158" s="6">
        <v>296902.67</v>
      </c>
      <c r="K158" s="6">
        <v>-10496.67</v>
      </c>
      <c r="L158" s="6">
        <v>-3.66</v>
      </c>
      <c r="M158" s="6">
        <f t="shared" si="1"/>
        <v>-1.178871294</v>
      </c>
      <c r="N158" s="6">
        <v>-3.67</v>
      </c>
      <c r="O158" s="7" t="s">
        <v>23</v>
      </c>
      <c r="P158" s="7" t="s">
        <v>46</v>
      </c>
      <c r="Q158" s="7" t="s">
        <v>25</v>
      </c>
      <c r="R158" s="10">
        <v>-12695.82</v>
      </c>
      <c r="S158" s="10">
        <v>2199.15</v>
      </c>
      <c r="T158" s="9" t="s">
        <v>33</v>
      </c>
      <c r="U158" s="9"/>
      <c r="V158" s="9"/>
      <c r="W158" s="9"/>
      <c r="X158" s="9"/>
      <c r="Y158" s="9"/>
      <c r="Z158" s="9"/>
      <c r="AA158" s="9"/>
      <c r="AB158" s="9"/>
    </row>
    <row r="159">
      <c r="A159" s="5">
        <v>41795.0</v>
      </c>
      <c r="B159" s="6">
        <v>2014.0</v>
      </c>
      <c r="C159" s="7" t="s">
        <v>75</v>
      </c>
      <c r="D159" s="7" t="s">
        <v>40</v>
      </c>
      <c r="E159" s="7" t="s">
        <v>35</v>
      </c>
      <c r="F159" s="6">
        <v>5783.0</v>
      </c>
      <c r="G159" s="6">
        <v>184989.89</v>
      </c>
      <c r="H159" s="6">
        <v>31.99</v>
      </c>
      <c r="I159" s="8">
        <v>33.343401348780915</v>
      </c>
      <c r="J159" s="6">
        <v>192824.89</v>
      </c>
      <c r="K159" s="6">
        <v>-7835.0</v>
      </c>
      <c r="L159" s="6">
        <v>-4.24</v>
      </c>
      <c r="M159" s="6">
        <f t="shared" si="1"/>
        <v>-1.354833132</v>
      </c>
      <c r="N159" s="6">
        <v>-4.24</v>
      </c>
      <c r="O159" s="7" t="s">
        <v>23</v>
      </c>
      <c r="P159" s="7" t="s">
        <v>46</v>
      </c>
      <c r="Q159" s="7" t="s">
        <v>25</v>
      </c>
      <c r="R159" s="10">
        <v>-10496.67</v>
      </c>
      <c r="S159" s="10">
        <v>2661.67</v>
      </c>
      <c r="T159" s="9" t="s">
        <v>33</v>
      </c>
      <c r="U159" s="9"/>
      <c r="V159" s="9"/>
      <c r="W159" s="9"/>
      <c r="X159" s="9"/>
      <c r="Y159" s="9"/>
      <c r="Z159" s="9"/>
      <c r="AA159" s="9"/>
      <c r="AB159" s="9"/>
    </row>
    <row r="160">
      <c r="A160" s="5">
        <v>41796.0</v>
      </c>
      <c r="B160" s="6">
        <v>2014.0</v>
      </c>
      <c r="C160" s="7" t="s">
        <v>75</v>
      </c>
      <c r="D160" s="7" t="s">
        <v>42</v>
      </c>
      <c r="E160" s="7" t="s">
        <v>37</v>
      </c>
      <c r="F160" s="6">
        <v>9005.0</v>
      </c>
      <c r="G160" s="6">
        <v>288118.3</v>
      </c>
      <c r="H160" s="6">
        <v>32.0</v>
      </c>
      <c r="I160" s="8">
        <v>33.338540810660746</v>
      </c>
      <c r="J160" s="6">
        <v>300213.56</v>
      </c>
      <c r="K160" s="6">
        <v>-12095.25</v>
      </c>
      <c r="L160" s="6">
        <v>-4.2</v>
      </c>
      <c r="M160" s="6">
        <f t="shared" si="1"/>
        <v>-1.343170461</v>
      </c>
      <c r="N160" s="6">
        <v>-4.2</v>
      </c>
      <c r="O160" s="7" t="s">
        <v>23</v>
      </c>
      <c r="P160" s="7" t="s">
        <v>46</v>
      </c>
      <c r="Q160" s="7" t="s">
        <v>25</v>
      </c>
      <c r="R160" s="10">
        <v>-7835.0</v>
      </c>
      <c r="S160" s="10">
        <v>-4260.25</v>
      </c>
      <c r="T160" s="9" t="s">
        <v>29</v>
      </c>
      <c r="U160" s="9"/>
      <c r="V160" s="9"/>
      <c r="W160" s="9"/>
      <c r="X160" s="9"/>
      <c r="Y160" s="9"/>
      <c r="Z160" s="9"/>
      <c r="AA160" s="9"/>
      <c r="AB160" s="9"/>
    </row>
    <row r="161">
      <c r="A161" s="5">
        <v>41797.0</v>
      </c>
      <c r="B161" s="6">
        <v>2014.0</v>
      </c>
      <c r="C161" s="7" t="s">
        <v>75</v>
      </c>
      <c r="D161" s="7" t="s">
        <v>43</v>
      </c>
      <c r="E161" s="7" t="s">
        <v>39</v>
      </c>
      <c r="F161" s="6">
        <v>12222.0</v>
      </c>
      <c r="G161" s="6">
        <v>391930.88</v>
      </c>
      <c r="H161" s="6">
        <v>32.07</v>
      </c>
      <c r="I161" s="8">
        <v>33.33651775486827</v>
      </c>
      <c r="J161" s="6">
        <v>407438.92</v>
      </c>
      <c r="K161" s="6">
        <v>-15508.04</v>
      </c>
      <c r="L161" s="6">
        <v>-3.96</v>
      </c>
      <c r="M161" s="6">
        <f t="shared" si="1"/>
        <v>-1.268862707</v>
      </c>
      <c r="N161" s="6">
        <v>-3.96</v>
      </c>
      <c r="O161" s="7" t="s">
        <v>23</v>
      </c>
      <c r="P161" s="7" t="s">
        <v>46</v>
      </c>
      <c r="Q161" s="7" t="s">
        <v>25</v>
      </c>
      <c r="R161" s="10">
        <v>-12095.25</v>
      </c>
      <c r="S161" s="10">
        <v>-3412.79</v>
      </c>
      <c r="T161" s="9" t="s">
        <v>29</v>
      </c>
      <c r="U161" s="9"/>
      <c r="V161" s="9"/>
      <c r="W161" s="9"/>
      <c r="X161" s="9"/>
      <c r="Y161" s="9"/>
      <c r="Z161" s="9"/>
      <c r="AA161" s="9"/>
      <c r="AB161" s="9"/>
    </row>
    <row r="162">
      <c r="A162" s="5">
        <v>41798.0</v>
      </c>
      <c r="B162" s="6">
        <v>2014.0</v>
      </c>
      <c r="C162" s="7" t="s">
        <v>75</v>
      </c>
      <c r="D162" s="7" t="s">
        <v>44</v>
      </c>
      <c r="E162" s="7" t="s">
        <v>41</v>
      </c>
      <c r="F162" s="6">
        <v>6037.0</v>
      </c>
      <c r="G162" s="6">
        <v>193772.58</v>
      </c>
      <c r="H162" s="6">
        <v>32.1</v>
      </c>
      <c r="I162" s="8">
        <v>33.3368742753023</v>
      </c>
      <c r="J162" s="6">
        <v>201254.71</v>
      </c>
      <c r="K162" s="6">
        <v>-7482.13</v>
      </c>
      <c r="L162" s="6">
        <v>-3.86</v>
      </c>
      <c r="M162" s="6">
        <f t="shared" si="1"/>
        <v>-1.239378831</v>
      </c>
      <c r="N162" s="6">
        <v>-3.86</v>
      </c>
      <c r="O162" s="7" t="s">
        <v>23</v>
      </c>
      <c r="P162" s="7" t="s">
        <v>46</v>
      </c>
      <c r="Q162" s="7" t="s">
        <v>25</v>
      </c>
      <c r="R162" s="10">
        <v>-15508.04</v>
      </c>
      <c r="S162" s="10">
        <v>8025.91</v>
      </c>
      <c r="T162" s="9" t="s">
        <v>33</v>
      </c>
      <c r="U162" s="9"/>
      <c r="V162" s="9"/>
      <c r="W162" s="9"/>
      <c r="X162" s="9"/>
      <c r="Y162" s="9"/>
      <c r="Z162" s="9"/>
      <c r="AA162" s="9"/>
      <c r="AB162" s="9"/>
    </row>
    <row r="163">
      <c r="A163" s="5">
        <v>41799.0</v>
      </c>
      <c r="B163" s="6">
        <v>2014.0</v>
      </c>
      <c r="C163" s="7" t="s">
        <v>75</v>
      </c>
      <c r="D163" s="7" t="s">
        <v>47</v>
      </c>
      <c r="E163" s="7" t="s">
        <v>22</v>
      </c>
      <c r="F163" s="6">
        <v>6607.0</v>
      </c>
      <c r="G163" s="6">
        <v>214177.98</v>
      </c>
      <c r="H163" s="6">
        <v>32.42</v>
      </c>
      <c r="I163" s="8">
        <v>33.33664598153474</v>
      </c>
      <c r="J163" s="6">
        <v>220255.22</v>
      </c>
      <c r="K163" s="6">
        <v>-6077.24</v>
      </c>
      <c r="L163" s="6">
        <v>-2.84</v>
      </c>
      <c r="M163" s="6">
        <f t="shared" si="1"/>
        <v>-0.9198183745</v>
      </c>
      <c r="N163" s="6">
        <v>-2.84</v>
      </c>
      <c r="O163" s="7" t="s">
        <v>23</v>
      </c>
      <c r="P163" s="7" t="s">
        <v>46</v>
      </c>
      <c r="Q163" s="7" t="s">
        <v>25</v>
      </c>
      <c r="R163" s="10">
        <v>-7482.13</v>
      </c>
      <c r="S163" s="10">
        <v>1404.9</v>
      </c>
      <c r="T163" s="9" t="s">
        <v>33</v>
      </c>
      <c r="U163" s="9"/>
      <c r="V163" s="9"/>
      <c r="W163" s="9"/>
      <c r="X163" s="9"/>
      <c r="Y163" s="9"/>
      <c r="Z163" s="9"/>
      <c r="AA163" s="9"/>
      <c r="AB163" s="9"/>
    </row>
    <row r="164">
      <c r="A164" s="5">
        <v>41800.0</v>
      </c>
      <c r="B164" s="6">
        <v>2014.0</v>
      </c>
      <c r="C164" s="7" t="s">
        <v>75</v>
      </c>
      <c r="D164" s="7" t="s">
        <v>48</v>
      </c>
      <c r="E164" s="7" t="s">
        <v>28</v>
      </c>
      <c r="F164" s="6">
        <v>5857.0</v>
      </c>
      <c r="G164" s="6">
        <v>188334.52</v>
      </c>
      <c r="H164" s="6">
        <v>32.16</v>
      </c>
      <c r="I164" s="8">
        <v>33.33699504865972</v>
      </c>
      <c r="J164" s="6">
        <v>195254.78</v>
      </c>
      <c r="K164" s="6">
        <v>-6920.26</v>
      </c>
      <c r="L164" s="6">
        <v>-3.67</v>
      </c>
      <c r="M164" s="6">
        <f t="shared" si="1"/>
        <v>-1.181536623</v>
      </c>
      <c r="N164" s="6">
        <v>-3.67</v>
      </c>
      <c r="O164" s="7" t="s">
        <v>23</v>
      </c>
      <c r="P164" s="7" t="s">
        <v>46</v>
      </c>
      <c r="Q164" s="7" t="s">
        <v>25</v>
      </c>
      <c r="R164" s="10">
        <v>-6077.24</v>
      </c>
      <c r="S164" s="10">
        <v>-843.02</v>
      </c>
      <c r="T164" s="9" t="s">
        <v>29</v>
      </c>
      <c r="U164" s="9"/>
      <c r="V164" s="9"/>
      <c r="W164" s="9"/>
      <c r="X164" s="9"/>
      <c r="Y164" s="9"/>
      <c r="Z164" s="9"/>
      <c r="AA164" s="9"/>
      <c r="AB164" s="9"/>
    </row>
    <row r="165">
      <c r="A165" s="5">
        <v>41801.0</v>
      </c>
      <c r="B165" s="6">
        <v>2014.0</v>
      </c>
      <c r="C165" s="7" t="s">
        <v>75</v>
      </c>
      <c r="D165" s="7" t="s">
        <v>49</v>
      </c>
      <c r="E165" s="7" t="s">
        <v>32</v>
      </c>
      <c r="F165" s="6">
        <v>5429.0</v>
      </c>
      <c r="G165" s="6">
        <v>174324.99</v>
      </c>
      <c r="H165" s="6">
        <v>32.11</v>
      </c>
      <c r="I165" s="8">
        <v>33.33553140541536</v>
      </c>
      <c r="J165" s="6">
        <v>180978.6</v>
      </c>
      <c r="K165" s="6">
        <v>-6653.61</v>
      </c>
      <c r="L165" s="6">
        <v>-3.82</v>
      </c>
      <c r="M165" s="6">
        <f t="shared" si="1"/>
        <v>-1.225568245</v>
      </c>
      <c r="N165" s="6">
        <v>-3.82</v>
      </c>
      <c r="O165" s="7" t="s">
        <v>23</v>
      </c>
      <c r="P165" s="7" t="s">
        <v>46</v>
      </c>
      <c r="Q165" s="7" t="s">
        <v>25</v>
      </c>
      <c r="R165" s="10">
        <v>-6920.26</v>
      </c>
      <c r="S165" s="10">
        <v>266.65</v>
      </c>
      <c r="T165" s="9" t="s">
        <v>33</v>
      </c>
      <c r="U165" s="9"/>
      <c r="V165" s="9"/>
      <c r="W165" s="9"/>
      <c r="X165" s="9"/>
      <c r="Y165" s="9"/>
      <c r="Z165" s="9"/>
      <c r="AA165" s="9"/>
      <c r="AB165" s="9"/>
    </row>
    <row r="166">
      <c r="A166" s="5">
        <v>41802.0</v>
      </c>
      <c r="B166" s="6">
        <v>2014.0</v>
      </c>
      <c r="C166" s="7" t="s">
        <v>75</v>
      </c>
      <c r="D166" s="7" t="s">
        <v>50</v>
      </c>
      <c r="E166" s="7" t="s">
        <v>35</v>
      </c>
      <c r="F166" s="6">
        <v>6232.0</v>
      </c>
      <c r="G166" s="6">
        <v>200271.56</v>
      </c>
      <c r="H166" s="6">
        <v>32.14</v>
      </c>
      <c r="I166" s="8">
        <v>33.337243260590505</v>
      </c>
      <c r="J166" s="6">
        <v>207757.7</v>
      </c>
      <c r="K166" s="6">
        <v>-7486.14</v>
      </c>
      <c r="L166" s="6">
        <v>-3.74</v>
      </c>
      <c r="M166" s="6">
        <f t="shared" si="1"/>
        <v>-1.201241977</v>
      </c>
      <c r="N166" s="6">
        <v>-3.74</v>
      </c>
      <c r="O166" s="7" t="s">
        <v>23</v>
      </c>
      <c r="P166" s="7" t="s">
        <v>46</v>
      </c>
      <c r="Q166" s="7" t="s">
        <v>25</v>
      </c>
      <c r="R166" s="10">
        <v>-6653.61</v>
      </c>
      <c r="S166" s="10">
        <v>-832.53</v>
      </c>
      <c r="T166" s="9" t="s">
        <v>29</v>
      </c>
      <c r="U166" s="9"/>
      <c r="V166" s="9"/>
      <c r="W166" s="9"/>
      <c r="X166" s="9"/>
      <c r="Y166" s="9"/>
      <c r="Z166" s="9"/>
      <c r="AA166" s="9"/>
      <c r="AB166" s="9"/>
    </row>
    <row r="167">
      <c r="A167" s="5">
        <v>41803.0</v>
      </c>
      <c r="B167" s="6">
        <v>2014.0</v>
      </c>
      <c r="C167" s="7" t="s">
        <v>75</v>
      </c>
      <c r="D167" s="7" t="s">
        <v>51</v>
      </c>
      <c r="E167" s="7" t="s">
        <v>37</v>
      </c>
      <c r="F167" s="6">
        <v>14585.0</v>
      </c>
      <c r="G167" s="6">
        <v>468701.63</v>
      </c>
      <c r="H167" s="6">
        <v>32.14</v>
      </c>
      <c r="I167" s="8">
        <v>33.334284538909834</v>
      </c>
      <c r="J167" s="6">
        <v>486180.54</v>
      </c>
      <c r="K167" s="6">
        <v>-17478.91</v>
      </c>
      <c r="L167" s="6">
        <v>-3.73</v>
      </c>
      <c r="M167" s="6">
        <f t="shared" si="1"/>
        <v>-1.198416867</v>
      </c>
      <c r="N167" s="6">
        <v>-3.73</v>
      </c>
      <c r="O167" s="7" t="s">
        <v>23</v>
      </c>
      <c r="P167" s="7" t="s">
        <v>46</v>
      </c>
      <c r="Q167" s="7" t="s">
        <v>25</v>
      </c>
      <c r="R167" s="10">
        <v>-7486.14</v>
      </c>
      <c r="S167" s="10">
        <v>-9992.78</v>
      </c>
      <c r="T167" s="9" t="s">
        <v>29</v>
      </c>
      <c r="U167" s="9"/>
      <c r="V167" s="9"/>
      <c r="W167" s="9"/>
      <c r="X167" s="9"/>
      <c r="Y167" s="9"/>
      <c r="Z167" s="9"/>
      <c r="AA167" s="9"/>
      <c r="AB167" s="9"/>
    </row>
    <row r="168">
      <c r="A168" s="5">
        <v>41804.0</v>
      </c>
      <c r="B168" s="6">
        <v>2014.0</v>
      </c>
      <c r="C168" s="7" t="s">
        <v>75</v>
      </c>
      <c r="D168" s="7" t="s">
        <v>52</v>
      </c>
      <c r="E168" s="7" t="s">
        <v>39</v>
      </c>
      <c r="F168" s="6">
        <v>14745.0</v>
      </c>
      <c r="G168" s="6">
        <v>473425.75</v>
      </c>
      <c r="H168" s="6">
        <v>32.11</v>
      </c>
      <c r="I168" s="8">
        <v>33.37641844693116</v>
      </c>
      <c r="J168" s="6">
        <v>492135.29</v>
      </c>
      <c r="K168" s="6">
        <v>-18709.54</v>
      </c>
      <c r="L168" s="6">
        <v>-3.95</v>
      </c>
      <c r="M168" s="6">
        <f t="shared" si="1"/>
        <v>-1.268873516</v>
      </c>
      <c r="N168" s="6">
        <v>-3.95</v>
      </c>
      <c r="O168" s="7" t="s">
        <v>23</v>
      </c>
      <c r="P168" s="7" t="s">
        <v>46</v>
      </c>
      <c r="Q168" s="7" t="s">
        <v>25</v>
      </c>
      <c r="R168" s="10">
        <v>-17478.91</v>
      </c>
      <c r="S168" s="10">
        <v>-1230.62</v>
      </c>
      <c r="T168" s="9" t="s">
        <v>29</v>
      </c>
      <c r="U168" s="9"/>
      <c r="V168" s="9"/>
      <c r="W168" s="9"/>
      <c r="X168" s="9"/>
      <c r="Y168" s="9"/>
      <c r="Z168" s="9"/>
      <c r="AA168" s="9"/>
      <c r="AB168" s="9"/>
    </row>
    <row r="169">
      <c r="A169" s="5">
        <v>41805.0</v>
      </c>
      <c r="B169" s="6">
        <v>2014.0</v>
      </c>
      <c r="C169" s="7" t="s">
        <v>75</v>
      </c>
      <c r="D169" s="7" t="s">
        <v>53</v>
      </c>
      <c r="E169" s="7" t="s">
        <v>41</v>
      </c>
      <c r="F169" s="6">
        <v>6991.0</v>
      </c>
      <c r="G169" s="6">
        <v>224232.12</v>
      </c>
      <c r="H169" s="6">
        <v>32.07</v>
      </c>
      <c r="I169" s="8">
        <v>33.407814332713485</v>
      </c>
      <c r="J169" s="6">
        <v>233554.03</v>
      </c>
      <c r="K169" s="6">
        <v>-9321.91</v>
      </c>
      <c r="L169" s="6">
        <v>-4.16</v>
      </c>
      <c r="M169" s="6">
        <f t="shared" si="1"/>
        <v>-1.33341582</v>
      </c>
      <c r="N169" s="6">
        <v>-4.16</v>
      </c>
      <c r="O169" s="7" t="s">
        <v>23</v>
      </c>
      <c r="P169" s="7" t="s">
        <v>46</v>
      </c>
      <c r="Q169" s="7" t="s">
        <v>25</v>
      </c>
      <c r="R169" s="10">
        <v>-18709.54</v>
      </c>
      <c r="S169" s="10">
        <v>9387.63</v>
      </c>
      <c r="T169" s="9" t="s">
        <v>33</v>
      </c>
      <c r="U169" s="9"/>
      <c r="V169" s="9"/>
      <c r="W169" s="9"/>
      <c r="X169" s="9"/>
      <c r="Y169" s="9"/>
      <c r="Z169" s="9"/>
      <c r="AA169" s="9"/>
      <c r="AB169" s="9"/>
    </row>
    <row r="170">
      <c r="A170" s="5">
        <v>41806.0</v>
      </c>
      <c r="B170" s="6">
        <v>2014.0</v>
      </c>
      <c r="C170" s="7" t="s">
        <v>75</v>
      </c>
      <c r="D170" s="7" t="s">
        <v>54</v>
      </c>
      <c r="E170" s="7" t="s">
        <v>22</v>
      </c>
      <c r="F170" s="6">
        <v>5788.0</v>
      </c>
      <c r="G170" s="6">
        <v>185606.28</v>
      </c>
      <c r="H170" s="6">
        <v>32.07</v>
      </c>
      <c r="I170" s="8">
        <v>33.40364892881824</v>
      </c>
      <c r="J170" s="6">
        <v>193340.32</v>
      </c>
      <c r="K170" s="6">
        <v>-7734.04</v>
      </c>
      <c r="L170" s="6">
        <v>-4.17</v>
      </c>
      <c r="M170" s="6">
        <f t="shared" si="1"/>
        <v>-1.336219765</v>
      </c>
      <c r="N170" s="6">
        <v>-4.17</v>
      </c>
      <c r="O170" s="7" t="s">
        <v>23</v>
      </c>
      <c r="P170" s="7" t="s">
        <v>46</v>
      </c>
      <c r="Q170" s="7" t="s">
        <v>25</v>
      </c>
      <c r="R170" s="10">
        <v>-9321.91</v>
      </c>
      <c r="S170" s="10">
        <v>1587.87</v>
      </c>
      <c r="T170" s="9" t="s">
        <v>33</v>
      </c>
      <c r="U170" s="9"/>
      <c r="V170" s="9"/>
      <c r="W170" s="9"/>
      <c r="X170" s="9"/>
      <c r="Y170" s="9"/>
      <c r="Z170" s="9"/>
      <c r="AA170" s="9"/>
      <c r="AB170" s="9"/>
    </row>
    <row r="171">
      <c r="A171" s="5">
        <v>41807.0</v>
      </c>
      <c r="B171" s="6">
        <v>2014.0</v>
      </c>
      <c r="C171" s="7" t="s">
        <v>75</v>
      </c>
      <c r="D171" s="7" t="s">
        <v>55</v>
      </c>
      <c r="E171" s="7" t="s">
        <v>28</v>
      </c>
      <c r="F171" s="6">
        <v>6632.0</v>
      </c>
      <c r="G171" s="6">
        <v>212687.51</v>
      </c>
      <c r="H171" s="6">
        <v>32.07</v>
      </c>
      <c r="I171" s="8">
        <v>33.384145054282264</v>
      </c>
      <c r="J171" s="6">
        <v>221403.65</v>
      </c>
      <c r="K171" s="6">
        <v>-8716.14</v>
      </c>
      <c r="L171" s="6">
        <v>-4.1</v>
      </c>
      <c r="M171" s="6">
        <f t="shared" si="1"/>
        <v>-1.314255127</v>
      </c>
      <c r="N171" s="6">
        <v>-4.1</v>
      </c>
      <c r="O171" s="7" t="s">
        <v>23</v>
      </c>
      <c r="P171" s="7" t="s">
        <v>46</v>
      </c>
      <c r="Q171" s="7" t="s">
        <v>25</v>
      </c>
      <c r="R171" s="10">
        <v>-7734.04</v>
      </c>
      <c r="S171" s="10">
        <v>-982.1</v>
      </c>
      <c r="T171" s="9" t="s">
        <v>29</v>
      </c>
      <c r="U171" s="9"/>
      <c r="V171" s="9"/>
      <c r="W171" s="9"/>
      <c r="X171" s="9"/>
      <c r="Y171" s="9"/>
      <c r="Z171" s="9"/>
      <c r="AA171" s="9"/>
      <c r="AB171" s="9"/>
    </row>
    <row r="172">
      <c r="A172" s="5">
        <v>41808.0</v>
      </c>
      <c r="B172" s="6">
        <v>2014.0</v>
      </c>
      <c r="C172" s="7" t="s">
        <v>75</v>
      </c>
      <c r="D172" s="7" t="s">
        <v>56</v>
      </c>
      <c r="E172" s="7" t="s">
        <v>32</v>
      </c>
      <c r="F172" s="6">
        <v>5752.0</v>
      </c>
      <c r="G172" s="6">
        <v>184259.69</v>
      </c>
      <c r="H172" s="6">
        <v>32.03</v>
      </c>
      <c r="I172" s="8">
        <v>33.38969228094576</v>
      </c>
      <c r="J172" s="6">
        <v>192057.51</v>
      </c>
      <c r="K172" s="6">
        <v>-7797.82</v>
      </c>
      <c r="L172" s="6">
        <v>-4.23</v>
      </c>
      <c r="M172" s="6">
        <f t="shared" si="1"/>
        <v>-1.355671071</v>
      </c>
      <c r="N172" s="6">
        <v>-4.23</v>
      </c>
      <c r="O172" s="7" t="s">
        <v>23</v>
      </c>
      <c r="P172" s="7" t="s">
        <v>46</v>
      </c>
      <c r="Q172" s="7" t="s">
        <v>25</v>
      </c>
      <c r="R172" s="10">
        <v>-8716.14</v>
      </c>
      <c r="S172" s="10">
        <v>918.32</v>
      </c>
      <c r="T172" s="9" t="s">
        <v>33</v>
      </c>
      <c r="U172" s="9"/>
      <c r="V172" s="9"/>
      <c r="W172" s="9"/>
      <c r="X172" s="9"/>
      <c r="Y172" s="9"/>
      <c r="Z172" s="9"/>
      <c r="AA172" s="9"/>
      <c r="AB172" s="9"/>
    </row>
    <row r="173">
      <c r="A173" s="5">
        <v>41809.0</v>
      </c>
      <c r="B173" s="6">
        <v>2014.0</v>
      </c>
      <c r="C173" s="7" t="s">
        <v>75</v>
      </c>
      <c r="D173" s="7" t="s">
        <v>57</v>
      </c>
      <c r="E173" s="7" t="s">
        <v>35</v>
      </c>
      <c r="F173" s="6">
        <v>3578.0</v>
      </c>
      <c r="G173" s="6">
        <v>113735.82</v>
      </c>
      <c r="H173" s="6">
        <v>31.79</v>
      </c>
      <c r="I173" s="8">
        <v>33.41084963666853</v>
      </c>
      <c r="J173" s="6">
        <v>119544.02</v>
      </c>
      <c r="K173" s="6">
        <v>-5808.2</v>
      </c>
      <c r="L173" s="6">
        <v>-5.11</v>
      </c>
      <c r="M173" s="6">
        <f t="shared" si="1"/>
        <v>-1.623309111</v>
      </c>
      <c r="N173" s="6">
        <v>-5.11</v>
      </c>
      <c r="O173" s="7" t="s">
        <v>23</v>
      </c>
      <c r="P173" s="7" t="s">
        <v>46</v>
      </c>
      <c r="Q173" s="7" t="s">
        <v>25</v>
      </c>
      <c r="R173" s="10">
        <v>-7797.82</v>
      </c>
      <c r="S173" s="10">
        <v>1989.61</v>
      </c>
      <c r="T173" s="9" t="s">
        <v>33</v>
      </c>
      <c r="U173" s="9"/>
      <c r="V173" s="9"/>
      <c r="W173" s="9"/>
      <c r="X173" s="9"/>
      <c r="Y173" s="9"/>
      <c r="Z173" s="9"/>
      <c r="AA173" s="9"/>
      <c r="AB173" s="9"/>
    </row>
    <row r="174">
      <c r="A174" s="5">
        <v>41810.0</v>
      </c>
      <c r="B174" s="6">
        <v>2014.0</v>
      </c>
      <c r="C174" s="7" t="s">
        <v>75</v>
      </c>
      <c r="D174" s="7" t="s">
        <v>58</v>
      </c>
      <c r="E174" s="7" t="s">
        <v>37</v>
      </c>
      <c r="F174" s="6">
        <v>6119.0</v>
      </c>
      <c r="G174" s="6">
        <v>203165.08</v>
      </c>
      <c r="H174" s="6">
        <v>33.2</v>
      </c>
      <c r="I174" s="8">
        <v>33.55950972381108</v>
      </c>
      <c r="J174" s="6">
        <v>205350.64</v>
      </c>
      <c r="K174" s="6">
        <v>-2185.56</v>
      </c>
      <c r="L174" s="6">
        <v>-1.08</v>
      </c>
      <c r="M174" s="6">
        <f t="shared" si="1"/>
        <v>-0.3571760092</v>
      </c>
      <c r="N174" s="6">
        <v>-1.08</v>
      </c>
      <c r="O174" s="7" t="s">
        <v>23</v>
      </c>
      <c r="P174" s="7" t="s">
        <v>46</v>
      </c>
      <c r="Q174" s="7" t="s">
        <v>25</v>
      </c>
      <c r="R174" s="10">
        <v>-5808.2</v>
      </c>
      <c r="S174" s="10">
        <v>3622.64</v>
      </c>
      <c r="T174" s="9" t="s">
        <v>33</v>
      </c>
      <c r="U174" s="9"/>
      <c r="V174" s="9"/>
      <c r="W174" s="9"/>
      <c r="X174" s="9"/>
      <c r="Y174" s="9"/>
      <c r="Z174" s="9"/>
      <c r="AA174" s="9"/>
      <c r="AB174" s="9"/>
    </row>
    <row r="175">
      <c r="A175" s="5">
        <v>41811.0</v>
      </c>
      <c r="B175" s="6">
        <v>2014.0</v>
      </c>
      <c r="C175" s="7" t="s">
        <v>75</v>
      </c>
      <c r="D175" s="7" t="s">
        <v>59</v>
      </c>
      <c r="E175" s="7" t="s">
        <v>39</v>
      </c>
      <c r="F175" s="6">
        <v>6161.0</v>
      </c>
      <c r="G175" s="6">
        <v>203345.24</v>
      </c>
      <c r="H175" s="6">
        <v>33.01</v>
      </c>
      <c r="I175" s="8">
        <v>33.5852799870151</v>
      </c>
      <c r="J175" s="6">
        <v>206918.91</v>
      </c>
      <c r="K175" s="6">
        <v>-3573.67</v>
      </c>
      <c r="L175" s="6">
        <v>-1.76</v>
      </c>
      <c r="M175" s="6">
        <f t="shared" si="1"/>
        <v>-0.5800470703</v>
      </c>
      <c r="N175" s="6">
        <v>-1.76</v>
      </c>
      <c r="O175" s="7" t="s">
        <v>23</v>
      </c>
      <c r="P175" s="7" t="s">
        <v>46</v>
      </c>
      <c r="Q175" s="7" t="s">
        <v>25</v>
      </c>
      <c r="R175" s="10">
        <v>-2185.56</v>
      </c>
      <c r="S175" s="10">
        <v>-1388.11</v>
      </c>
      <c r="T175" s="9" t="s">
        <v>29</v>
      </c>
      <c r="U175" s="9"/>
      <c r="V175" s="9"/>
      <c r="W175" s="9"/>
      <c r="X175" s="9"/>
      <c r="Y175" s="9"/>
      <c r="Z175" s="9"/>
      <c r="AA175" s="9"/>
      <c r="AB175" s="9"/>
    </row>
    <row r="176">
      <c r="A176" s="5">
        <v>41812.0</v>
      </c>
      <c r="B176" s="6">
        <v>2014.0</v>
      </c>
      <c r="C176" s="7" t="s">
        <v>75</v>
      </c>
      <c r="D176" s="7" t="s">
        <v>60</v>
      </c>
      <c r="E176" s="7" t="s">
        <v>41</v>
      </c>
      <c r="F176" s="6">
        <v>4015.0</v>
      </c>
      <c r="G176" s="6">
        <v>134944.49</v>
      </c>
      <c r="H176" s="6">
        <v>33.61</v>
      </c>
      <c r="I176" s="8">
        <v>33.71669489414695</v>
      </c>
      <c r="J176" s="6">
        <v>135372.53</v>
      </c>
      <c r="K176" s="6">
        <v>-428.04</v>
      </c>
      <c r="L176" s="6">
        <v>-0.32</v>
      </c>
      <c r="M176" s="6">
        <f t="shared" si="1"/>
        <v>-0.1066102117</v>
      </c>
      <c r="N176" s="6">
        <v>-0.32</v>
      </c>
      <c r="O176" s="7" t="s">
        <v>45</v>
      </c>
      <c r="P176" s="7" t="s">
        <v>46</v>
      </c>
      <c r="Q176" s="7" t="s">
        <v>25</v>
      </c>
      <c r="R176" s="10">
        <v>-3573.67</v>
      </c>
      <c r="S176" s="10">
        <v>3145.63</v>
      </c>
      <c r="T176" s="9" t="s">
        <v>33</v>
      </c>
      <c r="U176" s="9"/>
      <c r="V176" s="9"/>
      <c r="W176" s="9"/>
      <c r="X176" s="9"/>
      <c r="Y176" s="9"/>
      <c r="Z176" s="9"/>
      <c r="AA176" s="9"/>
      <c r="AB176" s="9"/>
    </row>
    <row r="177">
      <c r="A177" s="5">
        <v>41813.0</v>
      </c>
      <c r="B177" s="6">
        <v>2014.0</v>
      </c>
      <c r="C177" s="7" t="s">
        <v>75</v>
      </c>
      <c r="D177" s="7" t="s">
        <v>61</v>
      </c>
      <c r="E177" s="7" t="s">
        <v>22</v>
      </c>
      <c r="F177" s="6">
        <v>4133.0</v>
      </c>
      <c r="G177" s="6">
        <v>138298.21</v>
      </c>
      <c r="H177" s="6">
        <v>33.46</v>
      </c>
      <c r="I177" s="8">
        <v>33.68159448342608</v>
      </c>
      <c r="J177" s="6">
        <v>139206.03</v>
      </c>
      <c r="K177" s="6">
        <v>-907.82</v>
      </c>
      <c r="L177" s="6">
        <v>-0.66</v>
      </c>
      <c r="M177" s="6">
        <f t="shared" si="1"/>
        <v>-0.2196515848</v>
      </c>
      <c r="N177" s="6">
        <v>-0.66</v>
      </c>
      <c r="O177" s="7" t="s">
        <v>45</v>
      </c>
      <c r="P177" s="7" t="s">
        <v>46</v>
      </c>
      <c r="Q177" s="7" t="s">
        <v>25</v>
      </c>
      <c r="R177" s="10">
        <v>-428.04</v>
      </c>
      <c r="S177" s="10">
        <v>-479.78</v>
      </c>
      <c r="T177" s="9" t="s">
        <v>29</v>
      </c>
      <c r="U177" s="9"/>
      <c r="V177" s="9"/>
      <c r="W177" s="9"/>
      <c r="X177" s="9"/>
      <c r="Y177" s="9"/>
      <c r="Z177" s="9"/>
      <c r="AA177" s="9"/>
      <c r="AB177" s="9"/>
    </row>
    <row r="178">
      <c r="A178" s="5">
        <v>41814.0</v>
      </c>
      <c r="B178" s="6">
        <v>2014.0</v>
      </c>
      <c r="C178" s="7" t="s">
        <v>75</v>
      </c>
      <c r="D178" s="7" t="s">
        <v>62</v>
      </c>
      <c r="E178" s="7" t="s">
        <v>28</v>
      </c>
      <c r="F178" s="6">
        <v>1047.0</v>
      </c>
      <c r="G178" s="6">
        <v>36692.68</v>
      </c>
      <c r="H178" s="6">
        <v>35.05</v>
      </c>
      <c r="I178" s="8">
        <v>33.71447946513849</v>
      </c>
      <c r="J178" s="6">
        <v>35299.06</v>
      </c>
      <c r="K178" s="6">
        <v>1393.62</v>
      </c>
      <c r="L178" s="6">
        <v>3.8</v>
      </c>
      <c r="M178" s="6">
        <f t="shared" si="1"/>
        <v>1.331060172</v>
      </c>
      <c r="N178" s="6">
        <v>3.8</v>
      </c>
      <c r="O178" s="7" t="s">
        <v>45</v>
      </c>
      <c r="P178" s="7" t="s">
        <v>46</v>
      </c>
      <c r="Q178" s="7" t="s">
        <v>25</v>
      </c>
      <c r="R178" s="10">
        <v>-907.82</v>
      </c>
      <c r="S178" s="10">
        <v>2301.43</v>
      </c>
      <c r="T178" s="9" t="s">
        <v>33</v>
      </c>
      <c r="U178" s="9"/>
      <c r="V178" s="9"/>
      <c r="W178" s="9"/>
      <c r="X178" s="9"/>
      <c r="Y178" s="9"/>
      <c r="Z178" s="9"/>
      <c r="AA178" s="9"/>
      <c r="AB178" s="9"/>
    </row>
    <row r="179">
      <c r="A179" s="5">
        <v>41815.0</v>
      </c>
      <c r="B179" s="6">
        <v>2014.0</v>
      </c>
      <c r="C179" s="7" t="s">
        <v>75</v>
      </c>
      <c r="D179" s="7" t="s">
        <v>63</v>
      </c>
      <c r="E179" s="7" t="s">
        <v>32</v>
      </c>
      <c r="F179" s="6">
        <v>1601.0</v>
      </c>
      <c r="G179" s="6">
        <v>56077.54</v>
      </c>
      <c r="H179" s="6">
        <v>35.03</v>
      </c>
      <c r="I179" s="8">
        <v>33.68223610243598</v>
      </c>
      <c r="J179" s="6">
        <v>53925.26</v>
      </c>
      <c r="K179" s="6">
        <v>2152.29</v>
      </c>
      <c r="L179" s="6">
        <v>3.84</v>
      </c>
      <c r="M179" s="6">
        <f t="shared" si="1"/>
        <v>1.344341037</v>
      </c>
      <c r="N179" s="6">
        <v>3.84</v>
      </c>
      <c r="O179" s="7" t="s">
        <v>45</v>
      </c>
      <c r="P179" s="7" t="s">
        <v>46</v>
      </c>
      <c r="Q179" s="7" t="s">
        <v>25</v>
      </c>
      <c r="R179" s="10">
        <v>1393.62</v>
      </c>
      <c r="S179" s="10">
        <v>758.67</v>
      </c>
      <c r="T179" s="9" t="s">
        <v>33</v>
      </c>
      <c r="U179" s="9"/>
      <c r="V179" s="9"/>
      <c r="W179" s="9"/>
      <c r="X179" s="9"/>
      <c r="Y179" s="9"/>
      <c r="Z179" s="9"/>
      <c r="AA179" s="9"/>
      <c r="AB179" s="9"/>
    </row>
    <row r="180">
      <c r="A180" s="5">
        <v>41816.0</v>
      </c>
      <c r="B180" s="6">
        <v>2014.0</v>
      </c>
      <c r="C180" s="7" t="s">
        <v>75</v>
      </c>
      <c r="D180" s="7" t="s">
        <v>64</v>
      </c>
      <c r="E180" s="7" t="s">
        <v>35</v>
      </c>
      <c r="F180" s="6">
        <v>1592.0</v>
      </c>
      <c r="G180" s="6">
        <v>55780.71</v>
      </c>
      <c r="H180" s="6">
        <v>35.04</v>
      </c>
      <c r="I180" s="8">
        <v>33.723768844221105</v>
      </c>
      <c r="J180" s="6">
        <v>53688.24</v>
      </c>
      <c r="K180" s="6">
        <v>2092.47</v>
      </c>
      <c r="L180" s="6">
        <v>3.75</v>
      </c>
      <c r="M180" s="6">
        <f t="shared" si="1"/>
        <v>1.314365578</v>
      </c>
      <c r="N180" s="6">
        <v>3.75</v>
      </c>
      <c r="O180" s="7" t="s">
        <v>45</v>
      </c>
      <c r="P180" s="7" t="s">
        <v>46</v>
      </c>
      <c r="Q180" s="7" t="s">
        <v>25</v>
      </c>
      <c r="R180" s="10">
        <v>2152.29</v>
      </c>
      <c r="S180" s="10">
        <v>-59.82</v>
      </c>
      <c r="T180" s="9" t="s">
        <v>29</v>
      </c>
      <c r="U180" s="9"/>
      <c r="V180" s="9"/>
      <c r="W180" s="9"/>
      <c r="X180" s="9"/>
      <c r="Y180" s="9"/>
      <c r="Z180" s="9"/>
      <c r="AA180" s="9"/>
      <c r="AB180" s="9"/>
    </row>
    <row r="181">
      <c r="A181" s="5">
        <v>41817.0</v>
      </c>
      <c r="B181" s="6">
        <v>2014.0</v>
      </c>
      <c r="C181" s="7" t="s">
        <v>75</v>
      </c>
      <c r="D181" s="7" t="s">
        <v>65</v>
      </c>
      <c r="E181" s="7" t="s">
        <v>37</v>
      </c>
      <c r="F181" s="6">
        <v>3759.0</v>
      </c>
      <c r="G181" s="6">
        <v>131721.24</v>
      </c>
      <c r="H181" s="6">
        <v>35.04</v>
      </c>
      <c r="I181" s="8">
        <v>33.86603617983506</v>
      </c>
      <c r="J181" s="6">
        <v>127302.43</v>
      </c>
      <c r="K181" s="6">
        <v>4418.81</v>
      </c>
      <c r="L181" s="6">
        <v>3.35</v>
      </c>
      <c r="M181" s="6">
        <f t="shared" si="1"/>
        <v>1.175528066</v>
      </c>
      <c r="N181" s="6">
        <v>3.35</v>
      </c>
      <c r="O181" s="7" t="s">
        <v>45</v>
      </c>
      <c r="P181" s="7" t="s">
        <v>46</v>
      </c>
      <c r="Q181" s="7" t="s">
        <v>25</v>
      </c>
      <c r="R181" s="10">
        <v>2092.47</v>
      </c>
      <c r="S181" s="10">
        <v>2326.34</v>
      </c>
      <c r="T181" s="9" t="s">
        <v>33</v>
      </c>
      <c r="U181" s="9"/>
      <c r="V181" s="9"/>
      <c r="W181" s="9"/>
      <c r="X181" s="9"/>
      <c r="Y181" s="9"/>
      <c r="Z181" s="9"/>
      <c r="AA181" s="9"/>
      <c r="AB181" s="9"/>
    </row>
    <row r="182">
      <c r="A182" s="5">
        <v>41818.0</v>
      </c>
      <c r="B182" s="6">
        <v>2014.0</v>
      </c>
      <c r="C182" s="7" t="s">
        <v>75</v>
      </c>
      <c r="D182" s="7" t="s">
        <v>66</v>
      </c>
      <c r="E182" s="7" t="s">
        <v>39</v>
      </c>
      <c r="F182" s="6">
        <v>4172.0</v>
      </c>
      <c r="G182" s="6">
        <v>146169.08</v>
      </c>
      <c r="H182" s="6">
        <v>35.04</v>
      </c>
      <c r="I182" s="8">
        <v>33.79969558964525</v>
      </c>
      <c r="J182" s="6">
        <v>141012.33</v>
      </c>
      <c r="K182" s="6">
        <v>5156.75</v>
      </c>
      <c r="L182" s="6">
        <v>3.53</v>
      </c>
      <c r="M182" s="6">
        <f t="shared" si="1"/>
        <v>1.236037872</v>
      </c>
      <c r="N182" s="6">
        <v>3.53</v>
      </c>
      <c r="O182" s="7" t="s">
        <v>45</v>
      </c>
      <c r="P182" s="7" t="s">
        <v>46</v>
      </c>
      <c r="Q182" s="7" t="s">
        <v>25</v>
      </c>
      <c r="R182" s="10">
        <v>4418.81</v>
      </c>
      <c r="S182" s="10">
        <v>737.94</v>
      </c>
      <c r="T182" s="9" t="s">
        <v>33</v>
      </c>
      <c r="U182" s="9"/>
      <c r="V182" s="9"/>
      <c r="W182" s="9"/>
      <c r="X182" s="9"/>
      <c r="Y182" s="9"/>
      <c r="Z182" s="9"/>
      <c r="AA182" s="9"/>
      <c r="AB182" s="9"/>
    </row>
    <row r="183">
      <c r="A183" s="5">
        <v>41819.0</v>
      </c>
      <c r="B183" s="6">
        <v>2014.0</v>
      </c>
      <c r="C183" s="7" t="s">
        <v>75</v>
      </c>
      <c r="D183" s="7" t="s">
        <v>67</v>
      </c>
      <c r="E183" s="7" t="s">
        <v>41</v>
      </c>
      <c r="F183" s="6">
        <v>1772.0</v>
      </c>
      <c r="G183" s="6">
        <v>62073.59</v>
      </c>
      <c r="H183" s="6">
        <v>35.03</v>
      </c>
      <c r="I183" s="8">
        <v>33.90737584650113</v>
      </c>
      <c r="J183" s="6">
        <v>60083.87</v>
      </c>
      <c r="K183" s="6">
        <v>1989.72</v>
      </c>
      <c r="L183" s="6">
        <v>3.21</v>
      </c>
      <c r="M183" s="6">
        <f t="shared" si="1"/>
        <v>1.122866817</v>
      </c>
      <c r="N183" s="6">
        <v>3.21</v>
      </c>
      <c r="O183" s="7" t="s">
        <v>45</v>
      </c>
      <c r="P183" s="7" t="s">
        <v>46</v>
      </c>
      <c r="Q183" s="7" t="s">
        <v>25</v>
      </c>
      <c r="R183" s="10">
        <v>5156.75</v>
      </c>
      <c r="S183" s="10">
        <v>-3167.03</v>
      </c>
      <c r="T183" s="9" t="s">
        <v>29</v>
      </c>
      <c r="U183" s="9"/>
      <c r="V183" s="9"/>
      <c r="W183" s="9"/>
      <c r="X183" s="9"/>
      <c r="Y183" s="9"/>
      <c r="Z183" s="9"/>
      <c r="AA183" s="9"/>
      <c r="AB183" s="9"/>
    </row>
    <row r="184">
      <c r="A184" s="5">
        <v>41820.0</v>
      </c>
      <c r="B184" s="6">
        <v>2014.0</v>
      </c>
      <c r="C184" s="7" t="s">
        <v>75</v>
      </c>
      <c r="D184" s="7" t="s">
        <v>21</v>
      </c>
      <c r="E184" s="7" t="s">
        <v>22</v>
      </c>
      <c r="F184" s="6">
        <v>2672.0</v>
      </c>
      <c r="G184" s="6">
        <v>93619.85</v>
      </c>
      <c r="H184" s="6">
        <v>35.04</v>
      </c>
      <c r="I184" s="8">
        <v>33.792806886227545</v>
      </c>
      <c r="J184" s="6">
        <v>90294.38</v>
      </c>
      <c r="K184" s="6">
        <v>3325.47</v>
      </c>
      <c r="L184" s="6">
        <v>3.55</v>
      </c>
      <c r="M184" s="6">
        <f t="shared" si="1"/>
        <v>1.244562126</v>
      </c>
      <c r="N184" s="6">
        <v>3.55</v>
      </c>
      <c r="O184" s="7" t="s">
        <v>45</v>
      </c>
      <c r="P184" s="7" t="s">
        <v>46</v>
      </c>
      <c r="Q184" s="7" t="s">
        <v>25</v>
      </c>
      <c r="R184" s="10">
        <v>1989.72</v>
      </c>
      <c r="S184" s="10">
        <v>1335.76</v>
      </c>
      <c r="T184" s="9" t="s">
        <v>33</v>
      </c>
      <c r="U184" s="9"/>
      <c r="V184" s="9"/>
      <c r="W184" s="9"/>
      <c r="X184" s="9"/>
      <c r="Y184" s="9"/>
      <c r="Z184" s="9"/>
      <c r="AA184" s="9"/>
      <c r="AB184" s="9"/>
    </row>
    <row r="185">
      <c r="A185" s="5">
        <v>41821.0</v>
      </c>
      <c r="B185" s="6">
        <v>2014.0</v>
      </c>
      <c r="C185" s="7" t="s">
        <v>76</v>
      </c>
      <c r="D185" s="7" t="s">
        <v>31</v>
      </c>
      <c r="E185" s="7" t="s">
        <v>28</v>
      </c>
      <c r="F185" s="6">
        <v>5143.0</v>
      </c>
      <c r="G185" s="6">
        <v>180183.03</v>
      </c>
      <c r="H185" s="6">
        <v>35.03</v>
      </c>
      <c r="I185" s="8">
        <v>33.80185105969279</v>
      </c>
      <c r="J185" s="6">
        <v>173842.92</v>
      </c>
      <c r="K185" s="6">
        <v>6340.11</v>
      </c>
      <c r="L185" s="6">
        <v>3.52</v>
      </c>
      <c r="M185" s="6">
        <f t="shared" si="1"/>
        <v>1.232764923</v>
      </c>
      <c r="N185" s="6">
        <v>3.52</v>
      </c>
      <c r="O185" s="7" t="s">
        <v>45</v>
      </c>
      <c r="P185" s="7" t="s">
        <v>46</v>
      </c>
      <c r="Q185" s="7" t="s">
        <v>25</v>
      </c>
      <c r="R185" s="10">
        <v>3325.47</v>
      </c>
      <c r="S185" s="10">
        <v>3014.64</v>
      </c>
      <c r="T185" s="9" t="s">
        <v>33</v>
      </c>
      <c r="U185" s="9"/>
      <c r="V185" s="9"/>
      <c r="W185" s="9"/>
      <c r="X185" s="9"/>
      <c r="Y185" s="9"/>
      <c r="Z185" s="9"/>
      <c r="AA185" s="9"/>
      <c r="AB185" s="9"/>
    </row>
    <row r="186">
      <c r="A186" s="5">
        <v>41822.0</v>
      </c>
      <c r="B186" s="6">
        <v>2014.0</v>
      </c>
      <c r="C186" s="7" t="s">
        <v>76</v>
      </c>
      <c r="D186" s="7" t="s">
        <v>34</v>
      </c>
      <c r="E186" s="7" t="s">
        <v>32</v>
      </c>
      <c r="F186" s="6">
        <v>2990.0</v>
      </c>
      <c r="G186" s="6">
        <v>104760.71</v>
      </c>
      <c r="H186" s="6">
        <v>35.04</v>
      </c>
      <c r="I186" s="8">
        <v>33.98519397993311</v>
      </c>
      <c r="J186" s="6">
        <v>101615.73</v>
      </c>
      <c r="K186" s="6">
        <v>3144.97</v>
      </c>
      <c r="L186" s="6">
        <v>3.0</v>
      </c>
      <c r="M186" s="6">
        <f t="shared" si="1"/>
        <v>1.051829431</v>
      </c>
      <c r="N186" s="6">
        <v>3.0</v>
      </c>
      <c r="O186" s="7" t="s">
        <v>45</v>
      </c>
      <c r="P186" s="7" t="s">
        <v>46</v>
      </c>
      <c r="Q186" s="7" t="s">
        <v>25</v>
      </c>
      <c r="R186" s="10">
        <v>6340.11</v>
      </c>
      <c r="S186" s="10">
        <v>-3195.14</v>
      </c>
      <c r="T186" s="9" t="s">
        <v>29</v>
      </c>
      <c r="U186" s="9"/>
      <c r="V186" s="9"/>
      <c r="W186" s="9"/>
      <c r="X186" s="9"/>
      <c r="Y186" s="9"/>
      <c r="Z186" s="9"/>
      <c r="AA186" s="9"/>
      <c r="AB186" s="9"/>
    </row>
    <row r="187">
      <c r="A187" s="5">
        <v>41823.0</v>
      </c>
      <c r="B187" s="6">
        <v>2014.0</v>
      </c>
      <c r="C187" s="7" t="s">
        <v>76</v>
      </c>
      <c r="D187" s="7" t="s">
        <v>36</v>
      </c>
      <c r="E187" s="7" t="s">
        <v>35</v>
      </c>
      <c r="F187" s="6">
        <v>2667.0</v>
      </c>
      <c r="G187" s="6">
        <v>93450.53</v>
      </c>
      <c r="H187" s="6">
        <v>35.04</v>
      </c>
      <c r="I187" s="8">
        <v>34.09339707536558</v>
      </c>
      <c r="J187" s="6">
        <v>90927.09</v>
      </c>
      <c r="K187" s="6">
        <v>2523.44</v>
      </c>
      <c r="L187" s="6">
        <v>2.7</v>
      </c>
      <c r="M187" s="6">
        <f t="shared" si="1"/>
        <v>0.9461717285</v>
      </c>
      <c r="N187" s="6">
        <v>2.7</v>
      </c>
      <c r="O187" s="7" t="s">
        <v>45</v>
      </c>
      <c r="P187" s="7" t="s">
        <v>46</v>
      </c>
      <c r="Q187" s="7" t="s">
        <v>25</v>
      </c>
      <c r="R187" s="10">
        <v>3144.97</v>
      </c>
      <c r="S187" s="10">
        <v>-621.53</v>
      </c>
      <c r="T187" s="9" t="s">
        <v>29</v>
      </c>
      <c r="U187" s="9"/>
      <c r="V187" s="9"/>
      <c r="W187" s="9"/>
      <c r="X187" s="9"/>
      <c r="Y187" s="9"/>
      <c r="Z187" s="9"/>
      <c r="AA187" s="9"/>
      <c r="AB187" s="9"/>
    </row>
    <row r="188">
      <c r="A188" s="5">
        <v>41824.0</v>
      </c>
      <c r="B188" s="6">
        <v>2014.0</v>
      </c>
      <c r="C188" s="7" t="s">
        <v>76</v>
      </c>
      <c r="D188" s="7" t="s">
        <v>38</v>
      </c>
      <c r="E188" s="7" t="s">
        <v>37</v>
      </c>
      <c r="F188" s="6">
        <v>2799.0</v>
      </c>
      <c r="G188" s="6">
        <v>98087.56</v>
      </c>
      <c r="H188" s="6">
        <v>35.04</v>
      </c>
      <c r="I188" s="8">
        <v>34.091914969632015</v>
      </c>
      <c r="J188" s="6">
        <v>95423.27</v>
      </c>
      <c r="K188" s="6">
        <v>2664.28</v>
      </c>
      <c r="L188" s="6">
        <v>2.72</v>
      </c>
      <c r="M188" s="6">
        <f t="shared" si="1"/>
        <v>0.9518685245</v>
      </c>
      <c r="N188" s="6">
        <v>2.72</v>
      </c>
      <c r="O188" s="7" t="s">
        <v>45</v>
      </c>
      <c r="P188" s="7" t="s">
        <v>46</v>
      </c>
      <c r="Q188" s="7" t="s">
        <v>25</v>
      </c>
      <c r="R188" s="10">
        <v>2523.44</v>
      </c>
      <c r="S188" s="10">
        <v>140.84</v>
      </c>
      <c r="T188" s="9" t="s">
        <v>33</v>
      </c>
      <c r="U188" s="9"/>
      <c r="V188" s="9"/>
      <c r="W188" s="9"/>
      <c r="X188" s="9"/>
      <c r="Y188" s="9"/>
      <c r="Z188" s="9"/>
      <c r="AA188" s="9"/>
      <c r="AB188" s="9"/>
    </row>
    <row r="189">
      <c r="A189" s="5">
        <v>41825.0</v>
      </c>
      <c r="B189" s="6">
        <v>2014.0</v>
      </c>
      <c r="C189" s="7" t="s">
        <v>76</v>
      </c>
      <c r="D189" s="7" t="s">
        <v>40</v>
      </c>
      <c r="E189" s="7" t="s">
        <v>39</v>
      </c>
      <c r="F189" s="6">
        <v>3355.0</v>
      </c>
      <c r="G189" s="6">
        <v>117562.26</v>
      </c>
      <c r="H189" s="6">
        <v>35.04</v>
      </c>
      <c r="I189" s="8">
        <v>34.09705812220567</v>
      </c>
      <c r="J189" s="6">
        <v>114395.63</v>
      </c>
      <c r="K189" s="6">
        <v>3166.64</v>
      </c>
      <c r="L189" s="6">
        <v>2.69</v>
      </c>
      <c r="M189" s="6">
        <f t="shared" si="1"/>
        <v>0.94385693</v>
      </c>
      <c r="N189" s="6">
        <v>2.69</v>
      </c>
      <c r="O189" s="7" t="s">
        <v>45</v>
      </c>
      <c r="P189" s="7" t="s">
        <v>46</v>
      </c>
      <c r="Q189" s="7" t="s">
        <v>25</v>
      </c>
      <c r="R189" s="10">
        <v>2664.28</v>
      </c>
      <c r="S189" s="10">
        <v>502.35</v>
      </c>
      <c r="T189" s="9" t="s">
        <v>33</v>
      </c>
      <c r="U189" s="9"/>
      <c r="V189" s="9"/>
      <c r="W189" s="9"/>
      <c r="X189" s="9"/>
      <c r="Y189" s="9"/>
      <c r="Z189" s="9"/>
      <c r="AA189" s="9"/>
      <c r="AB189" s="9"/>
    </row>
    <row r="190">
      <c r="A190" s="5">
        <v>41826.0</v>
      </c>
      <c r="B190" s="6">
        <v>2014.0</v>
      </c>
      <c r="C190" s="7" t="s">
        <v>76</v>
      </c>
      <c r="D190" s="7" t="s">
        <v>42</v>
      </c>
      <c r="E190" s="7" t="s">
        <v>41</v>
      </c>
      <c r="F190" s="6">
        <v>2002.0</v>
      </c>
      <c r="G190" s="6">
        <v>70153.08</v>
      </c>
      <c r="H190" s="6">
        <v>35.04</v>
      </c>
      <c r="I190" s="8">
        <v>34.09202797202798</v>
      </c>
      <c r="J190" s="6">
        <v>68252.24</v>
      </c>
      <c r="K190" s="6">
        <v>1900.84</v>
      </c>
      <c r="L190" s="6">
        <v>2.71</v>
      </c>
      <c r="M190" s="6">
        <f t="shared" si="1"/>
        <v>0.9494705295</v>
      </c>
      <c r="N190" s="6">
        <v>2.71</v>
      </c>
      <c r="O190" s="7" t="s">
        <v>45</v>
      </c>
      <c r="P190" s="7" t="s">
        <v>46</v>
      </c>
      <c r="Q190" s="7" t="s">
        <v>25</v>
      </c>
      <c r="R190" s="10">
        <v>3166.64</v>
      </c>
      <c r="S190" s="10">
        <v>-1265.8</v>
      </c>
      <c r="T190" s="9" t="s">
        <v>29</v>
      </c>
      <c r="U190" s="9"/>
      <c r="V190" s="9"/>
      <c r="W190" s="9"/>
      <c r="X190" s="9"/>
      <c r="Y190" s="9"/>
      <c r="Z190" s="9"/>
      <c r="AA190" s="9"/>
      <c r="AB190" s="9"/>
    </row>
    <row r="191">
      <c r="A191" s="5">
        <v>41827.0</v>
      </c>
      <c r="B191" s="6">
        <v>2014.0</v>
      </c>
      <c r="C191" s="7" t="s">
        <v>76</v>
      </c>
      <c r="D191" s="7" t="s">
        <v>43</v>
      </c>
      <c r="E191" s="7" t="s">
        <v>22</v>
      </c>
      <c r="F191" s="6">
        <v>1967.0</v>
      </c>
      <c r="G191" s="6">
        <v>68918.42</v>
      </c>
      <c r="H191" s="6">
        <v>35.04</v>
      </c>
      <c r="I191" s="8">
        <v>34.057386883579056</v>
      </c>
      <c r="J191" s="6">
        <v>66990.88</v>
      </c>
      <c r="K191" s="6">
        <v>1927.53</v>
      </c>
      <c r="L191" s="6">
        <v>2.8</v>
      </c>
      <c r="M191" s="6">
        <f t="shared" si="1"/>
        <v>0.9799339095</v>
      </c>
      <c r="N191" s="6">
        <v>2.8</v>
      </c>
      <c r="O191" s="7" t="s">
        <v>45</v>
      </c>
      <c r="P191" s="7" t="s">
        <v>46</v>
      </c>
      <c r="Q191" s="7" t="s">
        <v>25</v>
      </c>
      <c r="R191" s="10">
        <v>1900.84</v>
      </c>
      <c r="S191" s="10">
        <v>26.7</v>
      </c>
      <c r="T191" s="9" t="s">
        <v>33</v>
      </c>
      <c r="U191" s="9"/>
      <c r="V191" s="9"/>
      <c r="W191" s="9"/>
      <c r="X191" s="9"/>
      <c r="Y191" s="9"/>
      <c r="Z191" s="9"/>
      <c r="AA191" s="9"/>
      <c r="AB191" s="9"/>
    </row>
    <row r="192">
      <c r="A192" s="5">
        <v>41828.0</v>
      </c>
      <c r="B192" s="6">
        <v>2014.0</v>
      </c>
      <c r="C192" s="7" t="s">
        <v>76</v>
      </c>
      <c r="D192" s="7" t="s">
        <v>44</v>
      </c>
      <c r="E192" s="7" t="s">
        <v>28</v>
      </c>
      <c r="F192" s="6">
        <v>3094.0</v>
      </c>
      <c r="G192" s="6">
        <v>108417.4</v>
      </c>
      <c r="H192" s="6">
        <v>35.04</v>
      </c>
      <c r="I192" s="8">
        <v>34.05730446024564</v>
      </c>
      <c r="J192" s="6">
        <v>105373.3</v>
      </c>
      <c r="K192" s="6">
        <v>3044.1</v>
      </c>
      <c r="L192" s="6">
        <v>2.81</v>
      </c>
      <c r="M192" s="6">
        <f t="shared" si="1"/>
        <v>0.9838720103</v>
      </c>
      <c r="N192" s="6">
        <v>2.81</v>
      </c>
      <c r="O192" s="7" t="s">
        <v>45</v>
      </c>
      <c r="P192" s="7" t="s">
        <v>46</v>
      </c>
      <c r="Q192" s="7" t="s">
        <v>25</v>
      </c>
      <c r="R192" s="10">
        <v>1927.53</v>
      </c>
      <c r="S192" s="10">
        <v>1116.57</v>
      </c>
      <c r="T192" s="9" t="s">
        <v>33</v>
      </c>
      <c r="U192" s="9"/>
      <c r="V192" s="9"/>
      <c r="W192" s="9"/>
      <c r="X192" s="9"/>
      <c r="Y192" s="9"/>
      <c r="Z192" s="9"/>
      <c r="AA192" s="9"/>
      <c r="AB192" s="9"/>
    </row>
    <row r="193">
      <c r="A193" s="5">
        <v>41829.0</v>
      </c>
      <c r="B193" s="6">
        <v>2014.0</v>
      </c>
      <c r="C193" s="7" t="s">
        <v>76</v>
      </c>
      <c r="D193" s="7" t="s">
        <v>47</v>
      </c>
      <c r="E193" s="7" t="s">
        <v>32</v>
      </c>
      <c r="F193" s="6">
        <v>2335.0</v>
      </c>
      <c r="G193" s="6">
        <v>81802.61</v>
      </c>
      <c r="H193" s="6">
        <v>35.03</v>
      </c>
      <c r="I193" s="8">
        <v>34.045605995717345</v>
      </c>
      <c r="J193" s="6">
        <v>79496.49</v>
      </c>
      <c r="K193" s="6">
        <v>2306.11</v>
      </c>
      <c r="L193" s="6">
        <v>2.82</v>
      </c>
      <c r="M193" s="6">
        <f t="shared" si="1"/>
        <v>0.987627409</v>
      </c>
      <c r="N193" s="6">
        <v>2.82</v>
      </c>
      <c r="O193" s="7" t="s">
        <v>45</v>
      </c>
      <c r="P193" s="7" t="s">
        <v>46</v>
      </c>
      <c r="Q193" s="7" t="s">
        <v>25</v>
      </c>
      <c r="R193" s="10">
        <v>3044.1</v>
      </c>
      <c r="S193" s="10">
        <v>-737.99</v>
      </c>
      <c r="T193" s="9" t="s">
        <v>29</v>
      </c>
      <c r="U193" s="9"/>
      <c r="V193" s="9"/>
      <c r="W193" s="9"/>
      <c r="X193" s="9"/>
      <c r="Y193" s="9"/>
      <c r="Z193" s="9"/>
      <c r="AA193" s="9"/>
      <c r="AB193" s="9"/>
    </row>
    <row r="194">
      <c r="A194" s="5">
        <v>41830.0</v>
      </c>
      <c r="B194" s="6">
        <v>2014.0</v>
      </c>
      <c r="C194" s="7" t="s">
        <v>76</v>
      </c>
      <c r="D194" s="7" t="s">
        <v>48</v>
      </c>
      <c r="E194" s="7" t="s">
        <v>35</v>
      </c>
      <c r="F194" s="6">
        <v>2968.0</v>
      </c>
      <c r="G194" s="6">
        <v>103998.56</v>
      </c>
      <c r="H194" s="6">
        <v>35.04</v>
      </c>
      <c r="I194" s="8">
        <v>34.12094676549865</v>
      </c>
      <c r="J194" s="6">
        <v>101270.97</v>
      </c>
      <c r="K194" s="6">
        <v>2727.59</v>
      </c>
      <c r="L194" s="6">
        <v>2.62</v>
      </c>
      <c r="M194" s="6">
        <f t="shared" si="1"/>
        <v>0.9189993261</v>
      </c>
      <c r="N194" s="6">
        <v>2.62</v>
      </c>
      <c r="O194" s="7" t="s">
        <v>45</v>
      </c>
      <c r="P194" s="7" t="s">
        <v>46</v>
      </c>
      <c r="Q194" s="7" t="s">
        <v>25</v>
      </c>
      <c r="R194" s="10">
        <v>2306.11</v>
      </c>
      <c r="S194" s="10">
        <v>421.47</v>
      </c>
      <c r="T194" s="9" t="s">
        <v>33</v>
      </c>
      <c r="U194" s="9"/>
      <c r="V194" s="9"/>
      <c r="W194" s="9"/>
      <c r="X194" s="9"/>
      <c r="Y194" s="9"/>
      <c r="Z194" s="9"/>
      <c r="AA194" s="9"/>
      <c r="AB194" s="9"/>
    </row>
    <row r="195">
      <c r="A195" s="5">
        <v>41831.0</v>
      </c>
      <c r="B195" s="6">
        <v>2014.0</v>
      </c>
      <c r="C195" s="7" t="s">
        <v>76</v>
      </c>
      <c r="D195" s="7" t="s">
        <v>49</v>
      </c>
      <c r="E195" s="7" t="s">
        <v>37</v>
      </c>
      <c r="F195" s="6">
        <v>3825.0</v>
      </c>
      <c r="G195" s="6">
        <v>134018.09</v>
      </c>
      <c r="H195" s="6">
        <v>35.04</v>
      </c>
      <c r="I195" s="8">
        <v>34.152486274509805</v>
      </c>
      <c r="J195" s="6">
        <v>130633.26</v>
      </c>
      <c r="K195" s="6">
        <v>3384.83</v>
      </c>
      <c r="L195" s="6">
        <v>2.53</v>
      </c>
      <c r="M195" s="6">
        <f t="shared" si="1"/>
        <v>0.8849228758</v>
      </c>
      <c r="N195" s="6">
        <v>2.53</v>
      </c>
      <c r="O195" s="7" t="s">
        <v>45</v>
      </c>
      <c r="P195" s="7" t="s">
        <v>46</v>
      </c>
      <c r="Q195" s="7" t="s">
        <v>25</v>
      </c>
      <c r="R195" s="10">
        <v>2727.59</v>
      </c>
      <c r="S195" s="10">
        <v>657.24</v>
      </c>
      <c r="T195" s="9" t="s">
        <v>33</v>
      </c>
      <c r="U195" s="9"/>
      <c r="V195" s="9"/>
      <c r="W195" s="9"/>
      <c r="X195" s="9"/>
      <c r="Y195" s="9"/>
      <c r="Z195" s="9"/>
      <c r="AA195" s="9"/>
      <c r="AB195" s="9"/>
    </row>
    <row r="196">
      <c r="A196" s="5">
        <v>41832.0</v>
      </c>
      <c r="B196" s="6">
        <v>2014.0</v>
      </c>
      <c r="C196" s="7" t="s">
        <v>76</v>
      </c>
      <c r="D196" s="7" t="s">
        <v>50</v>
      </c>
      <c r="E196" s="7" t="s">
        <v>39</v>
      </c>
      <c r="F196" s="6">
        <v>2833.0</v>
      </c>
      <c r="G196" s="6">
        <v>99277.3</v>
      </c>
      <c r="H196" s="6">
        <v>35.04</v>
      </c>
      <c r="I196" s="8">
        <v>34.12936816096011</v>
      </c>
      <c r="J196" s="6">
        <v>96688.5</v>
      </c>
      <c r="K196" s="6">
        <v>2588.8</v>
      </c>
      <c r="L196" s="6">
        <v>2.61</v>
      </c>
      <c r="M196" s="6">
        <f t="shared" si="1"/>
        <v>0.9138016237</v>
      </c>
      <c r="N196" s="6">
        <v>2.61</v>
      </c>
      <c r="O196" s="7" t="s">
        <v>45</v>
      </c>
      <c r="P196" s="7" t="s">
        <v>46</v>
      </c>
      <c r="Q196" s="7" t="s">
        <v>25</v>
      </c>
      <c r="R196" s="10">
        <v>3384.83</v>
      </c>
      <c r="S196" s="10">
        <v>-796.02</v>
      </c>
      <c r="T196" s="9" t="s">
        <v>29</v>
      </c>
      <c r="U196" s="9"/>
      <c r="V196" s="9"/>
      <c r="W196" s="9"/>
      <c r="X196" s="9"/>
      <c r="Y196" s="9"/>
      <c r="Z196" s="9"/>
      <c r="AA196" s="9"/>
      <c r="AB196" s="9"/>
    </row>
    <row r="197">
      <c r="A197" s="5">
        <v>41833.0</v>
      </c>
      <c r="B197" s="6">
        <v>2014.0</v>
      </c>
      <c r="C197" s="7" t="s">
        <v>76</v>
      </c>
      <c r="D197" s="7" t="s">
        <v>51</v>
      </c>
      <c r="E197" s="7" t="s">
        <v>41</v>
      </c>
      <c r="F197" s="6">
        <v>1419.0</v>
      </c>
      <c r="G197" s="6">
        <v>49705.23</v>
      </c>
      <c r="H197" s="6">
        <v>35.03</v>
      </c>
      <c r="I197" s="8">
        <v>34.087603946441156</v>
      </c>
      <c r="J197" s="6">
        <v>48370.31</v>
      </c>
      <c r="K197" s="6">
        <v>1334.92</v>
      </c>
      <c r="L197" s="6">
        <v>2.69</v>
      </c>
      <c r="M197" s="6">
        <f t="shared" si="1"/>
        <v>0.9407470049</v>
      </c>
      <c r="N197" s="6">
        <v>2.69</v>
      </c>
      <c r="O197" s="7" t="s">
        <v>45</v>
      </c>
      <c r="P197" s="7" t="s">
        <v>46</v>
      </c>
      <c r="Q197" s="7" t="s">
        <v>25</v>
      </c>
      <c r="R197" s="10">
        <v>2588.8</v>
      </c>
      <c r="S197" s="10">
        <v>-1253.88</v>
      </c>
      <c r="T197" s="9" t="s">
        <v>29</v>
      </c>
      <c r="U197" s="9"/>
      <c r="V197" s="9"/>
      <c r="W197" s="9"/>
      <c r="X197" s="9"/>
      <c r="Y197" s="9"/>
      <c r="Z197" s="9"/>
      <c r="AA197" s="9"/>
      <c r="AB197" s="9"/>
    </row>
    <row r="198">
      <c r="A198" s="5">
        <v>41834.0</v>
      </c>
      <c r="B198" s="6">
        <v>2014.0</v>
      </c>
      <c r="C198" s="7" t="s">
        <v>76</v>
      </c>
      <c r="D198" s="7" t="s">
        <v>52</v>
      </c>
      <c r="E198" s="7" t="s">
        <v>22</v>
      </c>
      <c r="F198" s="6">
        <v>2151.0</v>
      </c>
      <c r="G198" s="6">
        <v>75384.57</v>
      </c>
      <c r="H198" s="6">
        <v>35.05</v>
      </c>
      <c r="I198" s="8">
        <v>34.12061831706183</v>
      </c>
      <c r="J198" s="6">
        <v>73393.45</v>
      </c>
      <c r="K198" s="6">
        <v>1991.13</v>
      </c>
      <c r="L198" s="6">
        <v>2.64</v>
      </c>
      <c r="M198" s="6">
        <f t="shared" si="1"/>
        <v>0.9256764296</v>
      </c>
      <c r="N198" s="6">
        <v>2.64</v>
      </c>
      <c r="O198" s="7" t="s">
        <v>45</v>
      </c>
      <c r="P198" s="7" t="s">
        <v>46</v>
      </c>
      <c r="Q198" s="7" t="s">
        <v>25</v>
      </c>
      <c r="R198" s="10">
        <v>1334.92</v>
      </c>
      <c r="S198" s="10">
        <v>656.2</v>
      </c>
      <c r="T198" s="9" t="s">
        <v>33</v>
      </c>
      <c r="U198" s="9"/>
      <c r="V198" s="9"/>
      <c r="W198" s="9"/>
      <c r="X198" s="9"/>
      <c r="Y198" s="9"/>
      <c r="Z198" s="9"/>
      <c r="AA198" s="9"/>
      <c r="AB198" s="9"/>
    </row>
    <row r="199">
      <c r="A199" s="5">
        <v>41835.0</v>
      </c>
      <c r="B199" s="6">
        <v>2014.0</v>
      </c>
      <c r="C199" s="7" t="s">
        <v>76</v>
      </c>
      <c r="D199" s="7" t="s">
        <v>53</v>
      </c>
      <c r="E199" s="7" t="s">
        <v>28</v>
      </c>
      <c r="F199" s="6">
        <v>3148.0</v>
      </c>
      <c r="G199" s="6">
        <v>110288.23</v>
      </c>
      <c r="H199" s="6">
        <v>35.03</v>
      </c>
      <c r="I199" s="8">
        <v>34.12877382465057</v>
      </c>
      <c r="J199" s="6">
        <v>107437.38</v>
      </c>
      <c r="K199" s="6">
        <v>2850.85</v>
      </c>
      <c r="L199" s="6">
        <v>2.58</v>
      </c>
      <c r="M199" s="6">
        <f t="shared" si="1"/>
        <v>0.9056067344</v>
      </c>
      <c r="N199" s="6">
        <v>2.58</v>
      </c>
      <c r="O199" s="7" t="s">
        <v>45</v>
      </c>
      <c r="P199" s="7" t="s">
        <v>46</v>
      </c>
      <c r="Q199" s="7" t="s">
        <v>25</v>
      </c>
      <c r="R199" s="10">
        <v>1991.13</v>
      </c>
      <c r="S199" s="10">
        <v>859.73</v>
      </c>
      <c r="T199" s="9" t="s">
        <v>33</v>
      </c>
      <c r="U199" s="9"/>
      <c r="V199" s="9"/>
      <c r="W199" s="9"/>
      <c r="X199" s="9"/>
      <c r="Y199" s="9"/>
      <c r="Z199" s="9"/>
      <c r="AA199" s="9"/>
      <c r="AB199" s="9"/>
    </row>
    <row r="200">
      <c r="A200" s="5">
        <v>41836.0</v>
      </c>
      <c r="B200" s="6">
        <v>2014.0</v>
      </c>
      <c r="C200" s="7" t="s">
        <v>76</v>
      </c>
      <c r="D200" s="7" t="s">
        <v>54</v>
      </c>
      <c r="E200" s="7" t="s">
        <v>32</v>
      </c>
      <c r="F200" s="6">
        <v>4825.0</v>
      </c>
      <c r="G200" s="6">
        <v>156536.69</v>
      </c>
      <c r="H200" s="6">
        <v>32.44</v>
      </c>
      <c r="I200" s="8">
        <v>34.122559585492226</v>
      </c>
      <c r="J200" s="6">
        <v>164641.35</v>
      </c>
      <c r="K200" s="6">
        <v>-8104.67</v>
      </c>
      <c r="L200" s="6">
        <v>-5.18</v>
      </c>
      <c r="M200" s="6">
        <f t="shared" si="1"/>
        <v>-1.679724352</v>
      </c>
      <c r="N200" s="6">
        <v>-5.18</v>
      </c>
      <c r="O200" s="7" t="s">
        <v>23</v>
      </c>
      <c r="P200" s="7" t="s">
        <v>46</v>
      </c>
      <c r="Q200" s="7" t="s">
        <v>25</v>
      </c>
      <c r="R200" s="10">
        <v>2850.85</v>
      </c>
      <c r="S200" s="10">
        <v>-10955.52</v>
      </c>
      <c r="T200" s="9" t="s">
        <v>29</v>
      </c>
      <c r="U200" s="9"/>
      <c r="V200" s="9"/>
      <c r="W200" s="9"/>
      <c r="X200" s="9"/>
      <c r="Y200" s="9"/>
      <c r="Z200" s="9"/>
      <c r="AA200" s="9"/>
      <c r="AB200" s="9"/>
    </row>
    <row r="201">
      <c r="A201" s="5">
        <v>41837.0</v>
      </c>
      <c r="B201" s="6">
        <v>2014.0</v>
      </c>
      <c r="C201" s="7" t="s">
        <v>76</v>
      </c>
      <c r="D201" s="7" t="s">
        <v>55</v>
      </c>
      <c r="E201" s="7" t="s">
        <v>35</v>
      </c>
      <c r="F201" s="6">
        <v>2307.0</v>
      </c>
      <c r="G201" s="6">
        <v>80823.06</v>
      </c>
      <c r="H201" s="6">
        <v>35.03</v>
      </c>
      <c r="I201" s="8">
        <v>34.1763589076723</v>
      </c>
      <c r="J201" s="6">
        <v>78844.86</v>
      </c>
      <c r="K201" s="6">
        <v>1978.2</v>
      </c>
      <c r="L201" s="6">
        <v>2.45</v>
      </c>
      <c r="M201" s="6">
        <f t="shared" si="1"/>
        <v>0.8574772432</v>
      </c>
      <c r="N201" s="6">
        <v>2.45</v>
      </c>
      <c r="O201" s="7" t="s">
        <v>45</v>
      </c>
      <c r="P201" s="7" t="s">
        <v>46</v>
      </c>
      <c r="Q201" s="7" t="s">
        <v>25</v>
      </c>
      <c r="R201" s="10">
        <v>-8104.67</v>
      </c>
      <c r="S201" s="10">
        <v>10082.87</v>
      </c>
      <c r="T201" s="9" t="s">
        <v>33</v>
      </c>
      <c r="U201" s="9"/>
      <c r="V201" s="9"/>
      <c r="W201" s="9"/>
      <c r="X201" s="9"/>
      <c r="Y201" s="9"/>
      <c r="Z201" s="9"/>
      <c r="AA201" s="9"/>
      <c r="AB201" s="9"/>
    </row>
    <row r="202">
      <c r="A202" s="5">
        <v>41838.0</v>
      </c>
      <c r="B202" s="6">
        <v>2014.0</v>
      </c>
      <c r="C202" s="7" t="s">
        <v>76</v>
      </c>
      <c r="D202" s="7" t="s">
        <v>56</v>
      </c>
      <c r="E202" s="7" t="s">
        <v>37</v>
      </c>
      <c r="F202" s="6">
        <v>3557.0</v>
      </c>
      <c r="G202" s="6">
        <v>124615.69</v>
      </c>
      <c r="H202" s="6">
        <v>35.03</v>
      </c>
      <c r="I202" s="8">
        <v>34.189536125948834</v>
      </c>
      <c r="J202" s="6">
        <v>121612.18</v>
      </c>
      <c r="K202" s="6">
        <v>3003.51</v>
      </c>
      <c r="L202" s="6">
        <v>2.41</v>
      </c>
      <c r="M202" s="6">
        <f t="shared" si="1"/>
        <v>0.8443941524</v>
      </c>
      <c r="N202" s="6">
        <v>2.41</v>
      </c>
      <c r="O202" s="7" t="s">
        <v>45</v>
      </c>
      <c r="P202" s="7" t="s">
        <v>46</v>
      </c>
      <c r="Q202" s="7" t="s">
        <v>25</v>
      </c>
      <c r="R202" s="10">
        <v>1978.2</v>
      </c>
      <c r="S202" s="10">
        <v>1025.31</v>
      </c>
      <c r="T202" s="9" t="s">
        <v>33</v>
      </c>
      <c r="U202" s="9"/>
      <c r="V202" s="9"/>
      <c r="W202" s="9"/>
      <c r="X202" s="9"/>
      <c r="Y202" s="9"/>
      <c r="Z202" s="9"/>
      <c r="AA202" s="9"/>
      <c r="AB202" s="9"/>
    </row>
    <row r="203">
      <c r="A203" s="5">
        <v>41839.0</v>
      </c>
      <c r="B203" s="6">
        <v>2014.0</v>
      </c>
      <c r="C203" s="7" t="s">
        <v>76</v>
      </c>
      <c r="D203" s="7" t="s">
        <v>57</v>
      </c>
      <c r="E203" s="7" t="s">
        <v>39</v>
      </c>
      <c r="F203" s="6">
        <v>7485.0</v>
      </c>
      <c r="G203" s="6">
        <v>242758.95</v>
      </c>
      <c r="H203" s="6">
        <v>32.43</v>
      </c>
      <c r="I203" s="8">
        <v>34.172324649298595</v>
      </c>
      <c r="J203" s="6">
        <v>255779.85</v>
      </c>
      <c r="K203" s="6">
        <v>-13020.9</v>
      </c>
      <c r="L203" s="6">
        <v>-5.36</v>
      </c>
      <c r="M203" s="6">
        <f t="shared" si="1"/>
        <v>-1.739599198</v>
      </c>
      <c r="N203" s="6">
        <v>-5.36</v>
      </c>
      <c r="O203" s="7" t="s">
        <v>23</v>
      </c>
      <c r="P203" s="7" t="s">
        <v>46</v>
      </c>
      <c r="Q203" s="7" t="s">
        <v>25</v>
      </c>
      <c r="R203" s="10">
        <v>3003.51</v>
      </c>
      <c r="S203" s="10">
        <v>-16024.41</v>
      </c>
      <c r="T203" s="9" t="s">
        <v>29</v>
      </c>
      <c r="U203" s="9"/>
      <c r="V203" s="9"/>
      <c r="W203" s="9"/>
      <c r="X203" s="9"/>
      <c r="Y203" s="9"/>
      <c r="Z203" s="9"/>
      <c r="AA203" s="9"/>
      <c r="AB203" s="9"/>
    </row>
    <row r="204">
      <c r="A204" s="5">
        <v>41840.0</v>
      </c>
      <c r="B204" s="6">
        <v>2014.0</v>
      </c>
      <c r="C204" s="7" t="s">
        <v>76</v>
      </c>
      <c r="D204" s="7" t="s">
        <v>58</v>
      </c>
      <c r="E204" s="7" t="s">
        <v>41</v>
      </c>
      <c r="F204" s="6">
        <v>2428.0</v>
      </c>
      <c r="G204" s="6">
        <v>85078.24</v>
      </c>
      <c r="H204" s="6">
        <v>35.04</v>
      </c>
      <c r="I204" s="8">
        <v>34.19296128500824</v>
      </c>
      <c r="J204" s="6">
        <v>83020.51</v>
      </c>
      <c r="K204" s="6">
        <v>2057.73</v>
      </c>
      <c r="L204" s="6">
        <v>2.42</v>
      </c>
      <c r="M204" s="6">
        <f t="shared" si="1"/>
        <v>0.8475</v>
      </c>
      <c r="N204" s="6">
        <v>2.42</v>
      </c>
      <c r="O204" s="7" t="s">
        <v>45</v>
      </c>
      <c r="P204" s="7" t="s">
        <v>46</v>
      </c>
      <c r="Q204" s="7" t="s">
        <v>25</v>
      </c>
      <c r="R204" s="10">
        <v>-13020.9</v>
      </c>
      <c r="S204" s="10">
        <v>15078.63</v>
      </c>
      <c r="T204" s="9" t="s">
        <v>33</v>
      </c>
      <c r="U204" s="9"/>
      <c r="V204" s="9"/>
      <c r="W204" s="9"/>
      <c r="X204" s="9"/>
      <c r="Y204" s="9"/>
      <c r="Z204" s="9"/>
      <c r="AA204" s="9"/>
      <c r="AB204" s="9"/>
    </row>
    <row r="205">
      <c r="A205" s="5">
        <v>41841.0</v>
      </c>
      <c r="B205" s="6">
        <v>2014.0</v>
      </c>
      <c r="C205" s="7" t="s">
        <v>76</v>
      </c>
      <c r="D205" s="7" t="s">
        <v>59</v>
      </c>
      <c r="E205" s="7" t="s">
        <v>22</v>
      </c>
      <c r="F205" s="6">
        <v>2475.0</v>
      </c>
      <c r="G205" s="6">
        <v>86738.07</v>
      </c>
      <c r="H205" s="6">
        <v>35.05</v>
      </c>
      <c r="I205" s="8">
        <v>34.19930101010101</v>
      </c>
      <c r="J205" s="6">
        <v>84643.27</v>
      </c>
      <c r="K205" s="6">
        <v>2094.8</v>
      </c>
      <c r="L205" s="6">
        <v>2.42</v>
      </c>
      <c r="M205" s="6">
        <f t="shared" si="1"/>
        <v>0.8463838384</v>
      </c>
      <c r="N205" s="6">
        <v>2.42</v>
      </c>
      <c r="O205" s="7" t="s">
        <v>45</v>
      </c>
      <c r="P205" s="7" t="s">
        <v>46</v>
      </c>
      <c r="Q205" s="7" t="s">
        <v>25</v>
      </c>
      <c r="R205" s="10">
        <v>2057.73</v>
      </c>
      <c r="S205" s="10">
        <v>37.07</v>
      </c>
      <c r="T205" s="9" t="s">
        <v>33</v>
      </c>
      <c r="U205" s="9"/>
      <c r="V205" s="9"/>
      <c r="W205" s="9"/>
      <c r="X205" s="9"/>
      <c r="Y205" s="9"/>
      <c r="Z205" s="9"/>
      <c r="AA205" s="9"/>
      <c r="AB205" s="9"/>
    </row>
    <row r="206">
      <c r="A206" s="5">
        <v>41842.0</v>
      </c>
      <c r="B206" s="6">
        <v>2014.0</v>
      </c>
      <c r="C206" s="7" t="s">
        <v>76</v>
      </c>
      <c r="D206" s="7" t="s">
        <v>60</v>
      </c>
      <c r="E206" s="7" t="s">
        <v>28</v>
      </c>
      <c r="F206" s="6">
        <v>1618.0</v>
      </c>
      <c r="G206" s="6">
        <v>56673.62</v>
      </c>
      <c r="H206" s="6">
        <v>35.03</v>
      </c>
      <c r="I206" s="8">
        <v>34.16483930778739</v>
      </c>
      <c r="J206" s="6">
        <v>55278.71</v>
      </c>
      <c r="K206" s="6">
        <v>1394.91</v>
      </c>
      <c r="L206" s="6">
        <v>2.46</v>
      </c>
      <c r="M206" s="6">
        <f t="shared" si="1"/>
        <v>0.8621199011</v>
      </c>
      <c r="N206" s="6">
        <v>2.46</v>
      </c>
      <c r="O206" s="7" t="s">
        <v>45</v>
      </c>
      <c r="P206" s="7" t="s">
        <v>46</v>
      </c>
      <c r="Q206" s="7" t="s">
        <v>25</v>
      </c>
      <c r="R206" s="10">
        <v>2094.8</v>
      </c>
      <c r="S206" s="10">
        <v>-699.89</v>
      </c>
      <c r="T206" s="9" t="s">
        <v>29</v>
      </c>
      <c r="U206" s="9"/>
      <c r="V206" s="9"/>
      <c r="W206" s="9"/>
      <c r="X206" s="9"/>
      <c r="Y206" s="9"/>
      <c r="Z206" s="9"/>
      <c r="AA206" s="9"/>
      <c r="AB206" s="9"/>
    </row>
    <row r="207">
      <c r="A207" s="5">
        <v>41843.0</v>
      </c>
      <c r="B207" s="6">
        <v>2014.0</v>
      </c>
      <c r="C207" s="7" t="s">
        <v>76</v>
      </c>
      <c r="D207" s="7" t="s">
        <v>61</v>
      </c>
      <c r="E207" s="7" t="s">
        <v>32</v>
      </c>
      <c r="F207" s="6">
        <v>5106.0</v>
      </c>
      <c r="G207" s="6">
        <v>165742.17</v>
      </c>
      <c r="H207" s="6">
        <v>32.46</v>
      </c>
      <c r="I207" s="8">
        <v>34.023768115942026</v>
      </c>
      <c r="J207" s="6">
        <v>173725.36</v>
      </c>
      <c r="K207" s="6">
        <v>-7983.19</v>
      </c>
      <c r="L207" s="6">
        <v>-4.82</v>
      </c>
      <c r="M207" s="6">
        <f t="shared" si="1"/>
        <v>-1.56349197</v>
      </c>
      <c r="N207" s="6">
        <v>-4.82</v>
      </c>
      <c r="O207" s="7" t="s">
        <v>23</v>
      </c>
      <c r="P207" s="7" t="s">
        <v>46</v>
      </c>
      <c r="Q207" s="7" t="s">
        <v>25</v>
      </c>
      <c r="R207" s="10">
        <v>1394.91</v>
      </c>
      <c r="S207" s="10">
        <v>-9378.1</v>
      </c>
      <c r="T207" s="9" t="s">
        <v>29</v>
      </c>
      <c r="U207" s="9"/>
      <c r="V207" s="9"/>
      <c r="W207" s="9"/>
      <c r="X207" s="9"/>
      <c r="Y207" s="9"/>
      <c r="Z207" s="9"/>
      <c r="AA207" s="9"/>
      <c r="AB207" s="9"/>
    </row>
    <row r="208">
      <c r="A208" s="5">
        <v>41844.0</v>
      </c>
      <c r="B208" s="6">
        <v>2014.0</v>
      </c>
      <c r="C208" s="7" t="s">
        <v>76</v>
      </c>
      <c r="D208" s="7" t="s">
        <v>62</v>
      </c>
      <c r="E208" s="7" t="s">
        <v>35</v>
      </c>
      <c r="F208" s="6">
        <v>2729.0</v>
      </c>
      <c r="G208" s="6">
        <v>95618.25</v>
      </c>
      <c r="H208" s="6">
        <v>35.04</v>
      </c>
      <c r="I208" s="8">
        <v>33.86474899230487</v>
      </c>
      <c r="J208" s="6">
        <v>92416.9</v>
      </c>
      <c r="K208" s="6">
        <v>3201.34</v>
      </c>
      <c r="L208" s="6">
        <v>3.35</v>
      </c>
      <c r="M208" s="6">
        <f t="shared" si="1"/>
        <v>1.173081715</v>
      </c>
      <c r="N208" s="6">
        <v>3.35</v>
      </c>
      <c r="O208" s="7" t="s">
        <v>45</v>
      </c>
      <c r="P208" s="7" t="s">
        <v>46</v>
      </c>
      <c r="Q208" s="7" t="s">
        <v>25</v>
      </c>
      <c r="R208" s="10">
        <v>-7983.19</v>
      </c>
      <c r="S208" s="10">
        <v>11184.53</v>
      </c>
      <c r="T208" s="9" t="s">
        <v>33</v>
      </c>
      <c r="U208" s="9"/>
      <c r="V208" s="9"/>
      <c r="W208" s="9"/>
      <c r="X208" s="9"/>
      <c r="Y208" s="9"/>
      <c r="Z208" s="9"/>
      <c r="AA208" s="9"/>
      <c r="AB208" s="9"/>
    </row>
    <row r="209">
      <c r="A209" s="5">
        <v>41845.0</v>
      </c>
      <c r="B209" s="6">
        <v>2014.0</v>
      </c>
      <c r="C209" s="7" t="s">
        <v>76</v>
      </c>
      <c r="D209" s="7" t="s">
        <v>63</v>
      </c>
      <c r="E209" s="7" t="s">
        <v>37</v>
      </c>
      <c r="F209" s="6">
        <v>15897.0</v>
      </c>
      <c r="G209" s="6">
        <v>515698.8</v>
      </c>
      <c r="H209" s="6">
        <v>32.44</v>
      </c>
      <c r="I209" s="8">
        <v>33.85923570484997</v>
      </c>
      <c r="J209" s="6">
        <v>538260.27</v>
      </c>
      <c r="K209" s="6">
        <v>-22561.48</v>
      </c>
      <c r="L209" s="6">
        <v>-4.37</v>
      </c>
      <c r="M209" s="6">
        <f t="shared" si="1"/>
        <v>-1.419228785</v>
      </c>
      <c r="N209" s="6">
        <v>-4.37</v>
      </c>
      <c r="O209" s="7" t="s">
        <v>23</v>
      </c>
      <c r="P209" s="7" t="s">
        <v>46</v>
      </c>
      <c r="Q209" s="7" t="s">
        <v>25</v>
      </c>
      <c r="R209" s="10">
        <v>3201.34</v>
      </c>
      <c r="S209" s="10">
        <v>-25762.82</v>
      </c>
      <c r="T209" s="9" t="s">
        <v>29</v>
      </c>
      <c r="U209" s="9"/>
      <c r="V209" s="9"/>
      <c r="W209" s="9"/>
      <c r="X209" s="9"/>
      <c r="Y209" s="9"/>
      <c r="Z209" s="9"/>
      <c r="AA209" s="9"/>
      <c r="AB209" s="9"/>
    </row>
    <row r="210">
      <c r="A210" s="5">
        <v>41846.0</v>
      </c>
      <c r="B210" s="6">
        <v>2014.0</v>
      </c>
      <c r="C210" s="7" t="s">
        <v>76</v>
      </c>
      <c r="D210" s="7" t="s">
        <v>64</v>
      </c>
      <c r="E210" s="7" t="s">
        <v>39</v>
      </c>
      <c r="F210" s="6">
        <v>17343.0</v>
      </c>
      <c r="G210" s="6">
        <v>562590.37</v>
      </c>
      <c r="H210" s="6">
        <v>32.44</v>
      </c>
      <c r="I210" s="8">
        <v>33.827510234676815</v>
      </c>
      <c r="J210" s="6">
        <v>586670.51</v>
      </c>
      <c r="K210" s="6">
        <v>-24080.15</v>
      </c>
      <c r="L210" s="6">
        <v>-4.28</v>
      </c>
      <c r="M210" s="6">
        <f t="shared" si="1"/>
        <v>-1.388465087</v>
      </c>
      <c r="N210" s="6">
        <v>-4.28</v>
      </c>
      <c r="O210" s="7" t="s">
        <v>23</v>
      </c>
      <c r="P210" s="7" t="s">
        <v>46</v>
      </c>
      <c r="Q210" s="7" t="s">
        <v>25</v>
      </c>
      <c r="R210" s="10">
        <v>-22561.48</v>
      </c>
      <c r="S210" s="10">
        <v>-1518.67</v>
      </c>
      <c r="T210" s="9" t="s">
        <v>29</v>
      </c>
      <c r="U210" s="9"/>
      <c r="V210" s="9"/>
      <c r="W210" s="9"/>
      <c r="X210" s="9"/>
      <c r="Y210" s="9"/>
      <c r="Z210" s="9"/>
      <c r="AA210" s="9"/>
      <c r="AB210" s="9"/>
    </row>
    <row r="211">
      <c r="A211" s="5">
        <v>41847.0</v>
      </c>
      <c r="B211" s="6">
        <v>2014.0</v>
      </c>
      <c r="C211" s="7" t="s">
        <v>76</v>
      </c>
      <c r="D211" s="7" t="s">
        <v>65</v>
      </c>
      <c r="E211" s="7" t="s">
        <v>41</v>
      </c>
      <c r="F211" s="6">
        <v>8207.0</v>
      </c>
      <c r="G211" s="6">
        <v>266305.93</v>
      </c>
      <c r="H211" s="6">
        <v>32.45</v>
      </c>
      <c r="I211" s="8">
        <v>33.78067625198002</v>
      </c>
      <c r="J211" s="6">
        <v>277238.01</v>
      </c>
      <c r="K211" s="6">
        <v>-10932.08</v>
      </c>
      <c r="L211" s="6">
        <v>-4.11</v>
      </c>
      <c r="M211" s="6">
        <f t="shared" si="1"/>
        <v>-1.332043378</v>
      </c>
      <c r="N211" s="6">
        <v>-4.11</v>
      </c>
      <c r="O211" s="7" t="s">
        <v>23</v>
      </c>
      <c r="P211" s="7" t="s">
        <v>46</v>
      </c>
      <c r="Q211" s="7" t="s">
        <v>25</v>
      </c>
      <c r="R211" s="10">
        <v>-24080.15</v>
      </c>
      <c r="S211" s="10">
        <v>13148.06</v>
      </c>
      <c r="T211" s="9" t="s">
        <v>33</v>
      </c>
      <c r="U211" s="9"/>
      <c r="V211" s="9"/>
      <c r="W211" s="9"/>
      <c r="X211" s="9"/>
      <c r="Y211" s="9"/>
      <c r="Z211" s="9"/>
      <c r="AA211" s="9"/>
      <c r="AB211" s="9"/>
    </row>
    <row r="212">
      <c r="A212" s="5">
        <v>41848.0</v>
      </c>
      <c r="B212" s="6">
        <v>2014.0</v>
      </c>
      <c r="C212" s="7" t="s">
        <v>76</v>
      </c>
      <c r="D212" s="7" t="s">
        <v>66</v>
      </c>
      <c r="E212" s="7" t="s">
        <v>22</v>
      </c>
      <c r="F212" s="6">
        <v>9018.0</v>
      </c>
      <c r="G212" s="6">
        <v>292634.75</v>
      </c>
      <c r="H212" s="6">
        <v>32.45</v>
      </c>
      <c r="I212" s="8">
        <v>33.76673098247949</v>
      </c>
      <c r="J212" s="6">
        <v>304508.38</v>
      </c>
      <c r="K212" s="6">
        <v>-11873.63</v>
      </c>
      <c r="L212" s="6">
        <v>-4.06</v>
      </c>
      <c r="M212" s="6">
        <f t="shared" si="1"/>
        <v>-1.316658904</v>
      </c>
      <c r="N212" s="6">
        <v>-4.06</v>
      </c>
      <c r="O212" s="7" t="s">
        <v>23</v>
      </c>
      <c r="P212" s="7" t="s">
        <v>46</v>
      </c>
      <c r="Q212" s="7" t="s">
        <v>25</v>
      </c>
      <c r="R212" s="10">
        <v>-10932.08</v>
      </c>
      <c r="S212" s="10">
        <v>-941.55</v>
      </c>
      <c r="T212" s="9" t="s">
        <v>29</v>
      </c>
      <c r="U212" s="9"/>
      <c r="V212" s="9"/>
      <c r="W212" s="9"/>
      <c r="X212" s="9"/>
      <c r="Y212" s="9"/>
      <c r="Z212" s="9"/>
      <c r="AA212" s="9"/>
      <c r="AB212" s="9"/>
    </row>
    <row r="213">
      <c r="A213" s="5">
        <v>41849.0</v>
      </c>
      <c r="B213" s="6">
        <v>2014.0</v>
      </c>
      <c r="C213" s="7" t="s">
        <v>76</v>
      </c>
      <c r="D213" s="7" t="s">
        <v>67</v>
      </c>
      <c r="E213" s="7" t="s">
        <v>28</v>
      </c>
      <c r="F213" s="6">
        <v>6548.0</v>
      </c>
      <c r="G213" s="6">
        <v>212360.99</v>
      </c>
      <c r="H213" s="6">
        <v>32.43</v>
      </c>
      <c r="I213" s="8">
        <v>33.75337049480758</v>
      </c>
      <c r="J213" s="6">
        <v>221017.07</v>
      </c>
      <c r="K213" s="6">
        <v>-8656.08</v>
      </c>
      <c r="L213" s="6">
        <v>-4.08</v>
      </c>
      <c r="M213" s="6">
        <f t="shared" si="1"/>
        <v>-1.321942578</v>
      </c>
      <c r="N213" s="6">
        <v>-4.08</v>
      </c>
      <c r="O213" s="7" t="s">
        <v>23</v>
      </c>
      <c r="P213" s="7" t="s">
        <v>46</v>
      </c>
      <c r="Q213" s="7" t="s">
        <v>25</v>
      </c>
      <c r="R213" s="10">
        <v>-11873.63</v>
      </c>
      <c r="S213" s="10">
        <v>3217.55</v>
      </c>
      <c r="T213" s="9" t="s">
        <v>33</v>
      </c>
      <c r="U213" s="9"/>
      <c r="V213" s="9"/>
      <c r="W213" s="9"/>
      <c r="X213" s="9"/>
      <c r="Y213" s="9"/>
      <c r="Z213" s="9"/>
      <c r="AA213" s="9"/>
      <c r="AB213" s="9"/>
    </row>
    <row r="214">
      <c r="A214" s="5">
        <v>41850.0</v>
      </c>
      <c r="B214" s="6">
        <v>2014.0</v>
      </c>
      <c r="C214" s="7" t="s">
        <v>76</v>
      </c>
      <c r="D214" s="7" t="s">
        <v>21</v>
      </c>
      <c r="E214" s="7" t="s">
        <v>32</v>
      </c>
      <c r="F214" s="6">
        <v>6102.0</v>
      </c>
      <c r="G214" s="6">
        <v>198019.33</v>
      </c>
      <c r="H214" s="6">
        <v>32.45</v>
      </c>
      <c r="I214" s="8">
        <v>33.743661094723045</v>
      </c>
      <c r="J214" s="6">
        <v>205903.82</v>
      </c>
      <c r="K214" s="6">
        <v>-7884.49</v>
      </c>
      <c r="L214" s="6">
        <v>-3.98</v>
      </c>
      <c r="M214" s="6">
        <f t="shared" si="1"/>
        <v>-1.2921157</v>
      </c>
      <c r="N214" s="6">
        <v>-3.98</v>
      </c>
      <c r="O214" s="7" t="s">
        <v>23</v>
      </c>
      <c r="P214" s="7" t="s">
        <v>46</v>
      </c>
      <c r="Q214" s="7" t="s">
        <v>25</v>
      </c>
      <c r="R214" s="10">
        <v>-8656.08</v>
      </c>
      <c r="S214" s="10">
        <v>771.59</v>
      </c>
      <c r="T214" s="9" t="s">
        <v>33</v>
      </c>
      <c r="U214" s="9"/>
      <c r="V214" s="9"/>
      <c r="W214" s="9"/>
      <c r="X214" s="9"/>
      <c r="Y214" s="9"/>
      <c r="Z214" s="9"/>
      <c r="AA214" s="9"/>
      <c r="AB214" s="9"/>
    </row>
    <row r="215">
      <c r="A215" s="5">
        <v>41851.0</v>
      </c>
      <c r="B215" s="6">
        <v>2014.0</v>
      </c>
      <c r="C215" s="7" t="s">
        <v>76</v>
      </c>
      <c r="D215" s="7" t="s">
        <v>27</v>
      </c>
      <c r="E215" s="7" t="s">
        <v>35</v>
      </c>
      <c r="F215" s="6">
        <v>9108.0</v>
      </c>
      <c r="G215" s="6">
        <v>295508.33</v>
      </c>
      <c r="H215" s="6">
        <v>32.44</v>
      </c>
      <c r="I215" s="8">
        <v>33.731049626701804</v>
      </c>
      <c r="J215" s="6">
        <v>307222.4</v>
      </c>
      <c r="K215" s="6">
        <v>-11714.07</v>
      </c>
      <c r="L215" s="6">
        <v>-3.96</v>
      </c>
      <c r="M215" s="6">
        <f t="shared" si="1"/>
        <v>-1.286129776</v>
      </c>
      <c r="N215" s="6">
        <v>-3.96</v>
      </c>
      <c r="O215" s="7" t="s">
        <v>23</v>
      </c>
      <c r="P215" s="7" t="s">
        <v>46</v>
      </c>
      <c r="Q215" s="7" t="s">
        <v>25</v>
      </c>
      <c r="R215" s="10">
        <v>-7884.49</v>
      </c>
      <c r="S215" s="10">
        <v>-3829.58</v>
      </c>
      <c r="T215" s="9" t="s">
        <v>29</v>
      </c>
      <c r="U215" s="9"/>
      <c r="V215" s="9"/>
      <c r="W215" s="9"/>
      <c r="X215" s="9"/>
      <c r="Y215" s="9"/>
      <c r="Z215" s="9"/>
      <c r="AA215" s="9"/>
      <c r="AB215" s="9"/>
    </row>
    <row r="216">
      <c r="A216" s="5">
        <v>41852.0</v>
      </c>
      <c r="B216" s="6">
        <v>2014.0</v>
      </c>
      <c r="C216" s="7" t="s">
        <v>77</v>
      </c>
      <c r="D216" s="7" t="s">
        <v>31</v>
      </c>
      <c r="E216" s="7" t="s">
        <v>37</v>
      </c>
      <c r="F216" s="6">
        <v>18867.0</v>
      </c>
      <c r="G216" s="6">
        <v>611894.67</v>
      </c>
      <c r="H216" s="6">
        <v>32.43</v>
      </c>
      <c r="I216" s="8">
        <v>33.727742619388344</v>
      </c>
      <c r="J216" s="6">
        <v>636341.32</v>
      </c>
      <c r="K216" s="6">
        <v>-24446.64</v>
      </c>
      <c r="L216" s="6">
        <v>-4.0</v>
      </c>
      <c r="M216" s="6">
        <f t="shared" si="1"/>
        <v>-1.295735411</v>
      </c>
      <c r="N216" s="6">
        <v>-4.0</v>
      </c>
      <c r="O216" s="7" t="s">
        <v>23</v>
      </c>
      <c r="P216" s="7" t="s">
        <v>46</v>
      </c>
      <c r="Q216" s="7" t="s">
        <v>25</v>
      </c>
      <c r="R216" s="10">
        <v>-11714.07</v>
      </c>
      <c r="S216" s="10">
        <v>-12732.57</v>
      </c>
      <c r="T216" s="9" t="s">
        <v>29</v>
      </c>
      <c r="U216" s="9"/>
      <c r="V216" s="9"/>
      <c r="W216" s="9"/>
      <c r="X216" s="9"/>
      <c r="Y216" s="9"/>
      <c r="Z216" s="9"/>
      <c r="AA216" s="9"/>
      <c r="AB216" s="9"/>
    </row>
    <row r="217">
      <c r="A217" s="5">
        <v>41853.0</v>
      </c>
      <c r="B217" s="6">
        <v>2014.0</v>
      </c>
      <c r="C217" s="7" t="s">
        <v>77</v>
      </c>
      <c r="D217" s="7" t="s">
        <v>34</v>
      </c>
      <c r="E217" s="7" t="s">
        <v>39</v>
      </c>
      <c r="F217" s="6">
        <v>19384.0</v>
      </c>
      <c r="G217" s="6">
        <v>628685.22</v>
      </c>
      <c r="H217" s="6">
        <v>32.43</v>
      </c>
      <c r="I217" s="8">
        <v>33.72781469252992</v>
      </c>
      <c r="J217" s="6">
        <v>653779.96</v>
      </c>
      <c r="K217" s="6">
        <v>-25094.74</v>
      </c>
      <c r="L217" s="6">
        <v>-3.99</v>
      </c>
      <c r="M217" s="6">
        <f t="shared" si="1"/>
        <v>-1.294611019</v>
      </c>
      <c r="N217" s="6">
        <v>-3.99</v>
      </c>
      <c r="O217" s="7" t="s">
        <v>23</v>
      </c>
      <c r="P217" s="7" t="s">
        <v>46</v>
      </c>
      <c r="Q217" s="7" t="s">
        <v>25</v>
      </c>
      <c r="R217" s="10">
        <v>-24446.64</v>
      </c>
      <c r="S217" s="10">
        <v>-648.1</v>
      </c>
      <c r="T217" s="9" t="s">
        <v>29</v>
      </c>
      <c r="U217" s="9"/>
      <c r="V217" s="9"/>
      <c r="W217" s="9"/>
      <c r="X217" s="9"/>
      <c r="Y217" s="9"/>
      <c r="Z217" s="9"/>
      <c r="AA217" s="9"/>
      <c r="AB217" s="9"/>
    </row>
    <row r="218">
      <c r="A218" s="5">
        <v>41854.0</v>
      </c>
      <c r="B218" s="6">
        <v>2014.0</v>
      </c>
      <c r="C218" s="7" t="s">
        <v>77</v>
      </c>
      <c r="D218" s="7" t="s">
        <v>36</v>
      </c>
      <c r="E218" s="7" t="s">
        <v>41</v>
      </c>
      <c r="F218" s="6">
        <v>9473.0</v>
      </c>
      <c r="G218" s="6">
        <v>307272.68</v>
      </c>
      <c r="H218" s="6">
        <v>32.44</v>
      </c>
      <c r="I218" s="8">
        <v>33.72743692600021</v>
      </c>
      <c r="J218" s="6">
        <v>319500.01</v>
      </c>
      <c r="K218" s="6">
        <v>-12227.33</v>
      </c>
      <c r="L218" s="6">
        <v>-3.98</v>
      </c>
      <c r="M218" s="6">
        <f t="shared" si="1"/>
        <v>-1.290755832</v>
      </c>
      <c r="N218" s="6">
        <v>-3.98</v>
      </c>
      <c r="O218" s="7" t="s">
        <v>23</v>
      </c>
      <c r="P218" s="7" t="s">
        <v>46</v>
      </c>
      <c r="Q218" s="7" t="s">
        <v>25</v>
      </c>
      <c r="R218" s="10">
        <v>-25094.74</v>
      </c>
      <c r="S218" s="10">
        <v>12867.42</v>
      </c>
      <c r="T218" s="9" t="s">
        <v>33</v>
      </c>
      <c r="U218" s="9"/>
      <c r="V218" s="9"/>
      <c r="W218" s="9"/>
      <c r="X218" s="9"/>
      <c r="Y218" s="9"/>
      <c r="Z218" s="9"/>
      <c r="AA218" s="9"/>
      <c r="AB218" s="9"/>
    </row>
    <row r="219">
      <c r="A219" s="5">
        <v>41855.0</v>
      </c>
      <c r="B219" s="6">
        <v>2014.0</v>
      </c>
      <c r="C219" s="7" t="s">
        <v>77</v>
      </c>
      <c r="D219" s="7" t="s">
        <v>38</v>
      </c>
      <c r="E219" s="7" t="s">
        <v>22</v>
      </c>
      <c r="F219" s="6">
        <v>11170.0</v>
      </c>
      <c r="G219" s="6">
        <v>362106.53</v>
      </c>
      <c r="H219" s="6">
        <v>32.42</v>
      </c>
      <c r="I219" s="8">
        <v>33.71940465532677</v>
      </c>
      <c r="J219" s="6">
        <v>376645.75</v>
      </c>
      <c r="K219" s="6">
        <v>-14539.22</v>
      </c>
      <c r="L219" s="6">
        <v>-4.02</v>
      </c>
      <c r="M219" s="6">
        <f t="shared" si="1"/>
        <v>-1.301631155</v>
      </c>
      <c r="N219" s="6">
        <v>-4.02</v>
      </c>
      <c r="O219" s="7" t="s">
        <v>23</v>
      </c>
      <c r="P219" s="7" t="s">
        <v>46</v>
      </c>
      <c r="Q219" s="7" t="s">
        <v>25</v>
      </c>
      <c r="R219" s="10">
        <v>-12227.33</v>
      </c>
      <c r="S219" s="10">
        <v>-2311.89</v>
      </c>
      <c r="T219" s="9" t="s">
        <v>29</v>
      </c>
      <c r="U219" s="9"/>
      <c r="V219" s="9"/>
      <c r="W219" s="9"/>
      <c r="X219" s="9"/>
      <c r="Y219" s="9"/>
      <c r="Z219" s="9"/>
      <c r="AA219" s="9"/>
      <c r="AB219" s="9"/>
    </row>
    <row r="220">
      <c r="A220" s="5">
        <v>41856.0</v>
      </c>
      <c r="B220" s="6">
        <v>2014.0</v>
      </c>
      <c r="C220" s="7" t="s">
        <v>77</v>
      </c>
      <c r="D220" s="7" t="s">
        <v>40</v>
      </c>
      <c r="E220" s="7" t="s">
        <v>28</v>
      </c>
      <c r="F220" s="6">
        <v>8091.0</v>
      </c>
      <c r="G220" s="6">
        <v>262349.59</v>
      </c>
      <c r="H220" s="6">
        <v>32.42</v>
      </c>
      <c r="I220" s="8">
        <v>33.71762328513162</v>
      </c>
      <c r="J220" s="6">
        <v>272809.29</v>
      </c>
      <c r="K220" s="6">
        <v>-10459.7</v>
      </c>
      <c r="L220" s="6">
        <v>-3.99</v>
      </c>
      <c r="M220" s="6">
        <f t="shared" si="1"/>
        <v>-1.292757385</v>
      </c>
      <c r="N220" s="6">
        <v>-3.99</v>
      </c>
      <c r="O220" s="7" t="s">
        <v>23</v>
      </c>
      <c r="P220" s="7" t="s">
        <v>46</v>
      </c>
      <c r="Q220" s="7" t="s">
        <v>25</v>
      </c>
      <c r="R220" s="10">
        <v>-14539.22</v>
      </c>
      <c r="S220" s="10">
        <v>4079.52</v>
      </c>
      <c r="T220" s="9" t="s">
        <v>33</v>
      </c>
      <c r="U220" s="9"/>
      <c r="V220" s="9"/>
      <c r="W220" s="9"/>
      <c r="X220" s="9"/>
      <c r="Y220" s="9"/>
      <c r="Z220" s="9"/>
      <c r="AA220" s="9"/>
      <c r="AB220" s="9"/>
    </row>
    <row r="221">
      <c r="A221" s="5">
        <v>41857.0</v>
      </c>
      <c r="B221" s="6">
        <v>2014.0</v>
      </c>
      <c r="C221" s="7" t="s">
        <v>77</v>
      </c>
      <c r="D221" s="7" t="s">
        <v>42</v>
      </c>
      <c r="E221" s="7" t="s">
        <v>32</v>
      </c>
      <c r="F221" s="6">
        <v>2303.0</v>
      </c>
      <c r="G221" s="6">
        <v>80697.9</v>
      </c>
      <c r="H221" s="6">
        <v>35.04</v>
      </c>
      <c r="I221" s="8">
        <v>33.71673469387755</v>
      </c>
      <c r="J221" s="6">
        <v>77649.64</v>
      </c>
      <c r="K221" s="6">
        <v>3048.27</v>
      </c>
      <c r="L221" s="6">
        <v>3.78</v>
      </c>
      <c r="M221" s="6">
        <f t="shared" si="1"/>
        <v>1.323608337</v>
      </c>
      <c r="N221" s="6">
        <v>3.78</v>
      </c>
      <c r="O221" s="7" t="s">
        <v>45</v>
      </c>
      <c r="P221" s="7" t="s">
        <v>46</v>
      </c>
      <c r="Q221" s="7" t="s">
        <v>25</v>
      </c>
      <c r="R221" s="10">
        <v>-10459.7</v>
      </c>
      <c r="S221" s="10">
        <v>13507.97</v>
      </c>
      <c r="T221" s="9" t="s">
        <v>33</v>
      </c>
      <c r="U221" s="9"/>
      <c r="V221" s="9"/>
      <c r="W221" s="9"/>
      <c r="X221" s="9"/>
      <c r="Y221" s="9"/>
      <c r="Z221" s="9"/>
      <c r="AA221" s="9"/>
      <c r="AB221" s="9"/>
    </row>
    <row r="222">
      <c r="A222" s="5">
        <v>41858.0</v>
      </c>
      <c r="B222" s="6">
        <v>2014.0</v>
      </c>
      <c r="C222" s="7" t="s">
        <v>77</v>
      </c>
      <c r="D222" s="7" t="s">
        <v>43</v>
      </c>
      <c r="E222" s="7" t="s">
        <v>35</v>
      </c>
      <c r="F222" s="6">
        <v>2947.0</v>
      </c>
      <c r="G222" s="6">
        <v>103272.62</v>
      </c>
      <c r="H222" s="6">
        <v>35.04</v>
      </c>
      <c r="I222" s="8">
        <v>33.718096369189006</v>
      </c>
      <c r="J222" s="6">
        <v>99367.23</v>
      </c>
      <c r="K222" s="6">
        <v>3905.39</v>
      </c>
      <c r="L222" s="6">
        <v>3.78</v>
      </c>
      <c r="M222" s="6">
        <f t="shared" si="1"/>
        <v>1.325208687</v>
      </c>
      <c r="N222" s="6">
        <v>3.78</v>
      </c>
      <c r="O222" s="7" t="s">
        <v>45</v>
      </c>
      <c r="P222" s="7" t="s">
        <v>46</v>
      </c>
      <c r="Q222" s="7" t="s">
        <v>25</v>
      </c>
      <c r="R222" s="10">
        <v>3048.27</v>
      </c>
      <c r="S222" s="10">
        <v>857.12</v>
      </c>
      <c r="T222" s="9" t="s">
        <v>33</v>
      </c>
      <c r="U222" s="9"/>
      <c r="V222" s="9"/>
      <c r="W222" s="9"/>
      <c r="X222" s="9"/>
      <c r="Y222" s="9"/>
      <c r="Z222" s="9"/>
      <c r="AA222" s="9"/>
      <c r="AB222" s="9"/>
    </row>
    <row r="223">
      <c r="A223" s="5">
        <v>41859.0</v>
      </c>
      <c r="B223" s="6">
        <v>2014.0</v>
      </c>
      <c r="C223" s="7" t="s">
        <v>77</v>
      </c>
      <c r="D223" s="7" t="s">
        <v>44</v>
      </c>
      <c r="E223" s="7" t="s">
        <v>37</v>
      </c>
      <c r="F223" s="6">
        <v>13542.0</v>
      </c>
      <c r="G223" s="6">
        <v>439421.42</v>
      </c>
      <c r="H223" s="6">
        <v>32.45</v>
      </c>
      <c r="I223" s="8">
        <v>33.710649830158026</v>
      </c>
      <c r="J223" s="6">
        <v>456509.62</v>
      </c>
      <c r="K223" s="6">
        <v>-17088.2</v>
      </c>
      <c r="L223" s="6">
        <v>-3.89</v>
      </c>
      <c r="M223" s="6">
        <f t="shared" si="1"/>
        <v>-1.261866785</v>
      </c>
      <c r="N223" s="6">
        <v>-3.89</v>
      </c>
      <c r="O223" s="7" t="s">
        <v>23</v>
      </c>
      <c r="P223" s="7" t="s">
        <v>46</v>
      </c>
      <c r="Q223" s="7" t="s">
        <v>25</v>
      </c>
      <c r="R223" s="10">
        <v>3905.39</v>
      </c>
      <c r="S223" s="10">
        <v>-20993.59</v>
      </c>
      <c r="T223" s="9" t="s">
        <v>29</v>
      </c>
      <c r="U223" s="9"/>
      <c r="V223" s="9"/>
      <c r="W223" s="9"/>
      <c r="X223" s="9"/>
      <c r="Y223" s="9"/>
      <c r="Z223" s="9"/>
      <c r="AA223" s="9"/>
      <c r="AB223" s="9"/>
    </row>
    <row r="224">
      <c r="A224" s="5">
        <v>41860.0</v>
      </c>
      <c r="B224" s="6">
        <v>2014.0</v>
      </c>
      <c r="C224" s="7" t="s">
        <v>77</v>
      </c>
      <c r="D224" s="7" t="s">
        <v>47</v>
      </c>
      <c r="E224" s="7" t="s">
        <v>39</v>
      </c>
      <c r="F224" s="6">
        <v>12588.0</v>
      </c>
      <c r="G224" s="6">
        <v>408616.35</v>
      </c>
      <c r="H224" s="6">
        <v>32.46</v>
      </c>
      <c r="I224" s="8">
        <v>33.70995789640928</v>
      </c>
      <c r="J224" s="6">
        <v>424340.95</v>
      </c>
      <c r="K224" s="6">
        <v>-15724.6</v>
      </c>
      <c r="L224" s="6">
        <v>-3.85</v>
      </c>
      <c r="M224" s="6">
        <f t="shared" si="1"/>
        <v>-1.249173816</v>
      </c>
      <c r="N224" s="6">
        <v>-3.85</v>
      </c>
      <c r="O224" s="7" t="s">
        <v>23</v>
      </c>
      <c r="P224" s="7" t="s">
        <v>46</v>
      </c>
      <c r="Q224" s="7" t="s">
        <v>25</v>
      </c>
      <c r="R224" s="10">
        <v>-17088.2</v>
      </c>
      <c r="S224" s="10">
        <v>1363.6</v>
      </c>
      <c r="T224" s="9" t="s">
        <v>33</v>
      </c>
      <c r="U224" s="9"/>
      <c r="V224" s="9"/>
      <c r="W224" s="9"/>
      <c r="X224" s="9"/>
      <c r="Y224" s="9"/>
      <c r="Z224" s="9"/>
      <c r="AA224" s="9"/>
      <c r="AB224" s="9"/>
    </row>
    <row r="225">
      <c r="A225" s="5">
        <v>41861.0</v>
      </c>
      <c r="B225" s="6">
        <v>2014.0</v>
      </c>
      <c r="C225" s="7" t="s">
        <v>77</v>
      </c>
      <c r="D225" s="7" t="s">
        <v>48</v>
      </c>
      <c r="E225" s="7" t="s">
        <v>41</v>
      </c>
      <c r="F225" s="6">
        <v>6032.0</v>
      </c>
      <c r="G225" s="6">
        <v>195866.77</v>
      </c>
      <c r="H225" s="6">
        <v>32.47</v>
      </c>
      <c r="I225" s="8">
        <v>33.70879144562334</v>
      </c>
      <c r="J225" s="6">
        <v>203331.43</v>
      </c>
      <c r="K225" s="6">
        <v>-7464.66</v>
      </c>
      <c r="L225" s="6">
        <v>-3.81</v>
      </c>
      <c r="M225" s="6">
        <f t="shared" si="1"/>
        <v>-1.237509947</v>
      </c>
      <c r="N225" s="6">
        <v>-3.81</v>
      </c>
      <c r="O225" s="7" t="s">
        <v>23</v>
      </c>
      <c r="P225" s="7" t="s">
        <v>46</v>
      </c>
      <c r="Q225" s="7" t="s">
        <v>25</v>
      </c>
      <c r="R225" s="10">
        <v>-15724.6</v>
      </c>
      <c r="S225" s="10">
        <v>8259.94</v>
      </c>
      <c r="T225" s="9" t="s">
        <v>33</v>
      </c>
      <c r="U225" s="9"/>
      <c r="V225" s="9"/>
      <c r="W225" s="9"/>
      <c r="X225" s="9"/>
      <c r="Y225" s="9"/>
      <c r="Z225" s="9"/>
      <c r="AA225" s="9"/>
      <c r="AB225" s="9"/>
    </row>
    <row r="226">
      <c r="A226" s="5">
        <v>41862.0</v>
      </c>
      <c r="B226" s="6">
        <v>2014.0</v>
      </c>
      <c r="C226" s="7" t="s">
        <v>77</v>
      </c>
      <c r="D226" s="7" t="s">
        <v>49</v>
      </c>
      <c r="E226" s="7" t="s">
        <v>22</v>
      </c>
      <c r="F226" s="6">
        <v>7158.0</v>
      </c>
      <c r="G226" s="6">
        <v>232347.35</v>
      </c>
      <c r="H226" s="6">
        <v>32.46</v>
      </c>
      <c r="I226" s="8">
        <v>33.68741687622241</v>
      </c>
      <c r="J226" s="6">
        <v>241134.53</v>
      </c>
      <c r="K226" s="6">
        <v>-8787.17</v>
      </c>
      <c r="L226" s="6">
        <v>-3.78</v>
      </c>
      <c r="M226" s="6">
        <f t="shared" si="1"/>
        <v>-1.227601285</v>
      </c>
      <c r="N226" s="6">
        <v>-3.78</v>
      </c>
      <c r="O226" s="7" t="s">
        <v>23</v>
      </c>
      <c r="P226" s="7" t="s">
        <v>46</v>
      </c>
      <c r="Q226" s="7" t="s">
        <v>25</v>
      </c>
      <c r="R226" s="10">
        <v>-7464.66</v>
      </c>
      <c r="S226" s="10">
        <v>-1322.51</v>
      </c>
      <c r="T226" s="9" t="s">
        <v>29</v>
      </c>
      <c r="U226" s="9"/>
      <c r="V226" s="9"/>
      <c r="W226" s="9"/>
      <c r="X226" s="9"/>
      <c r="Y226" s="9"/>
      <c r="Z226" s="9"/>
      <c r="AA226" s="9"/>
      <c r="AB226" s="9"/>
    </row>
    <row r="227">
      <c r="A227" s="5">
        <v>41863.0</v>
      </c>
      <c r="B227" s="6">
        <v>2014.0</v>
      </c>
      <c r="C227" s="7" t="s">
        <v>77</v>
      </c>
      <c r="D227" s="7" t="s">
        <v>50</v>
      </c>
      <c r="E227" s="7" t="s">
        <v>28</v>
      </c>
      <c r="F227" s="6">
        <v>5863.0</v>
      </c>
      <c r="G227" s="6">
        <v>190325.18</v>
      </c>
      <c r="H227" s="6">
        <v>32.46</v>
      </c>
      <c r="I227" s="8">
        <v>33.67527033941668</v>
      </c>
      <c r="J227" s="6">
        <v>197438.11</v>
      </c>
      <c r="K227" s="6">
        <v>-7112.93</v>
      </c>
      <c r="L227" s="6">
        <v>-3.74</v>
      </c>
      <c r="M227" s="6">
        <f t="shared" si="1"/>
        <v>-1.213189493</v>
      </c>
      <c r="N227" s="6">
        <v>-3.74</v>
      </c>
      <c r="O227" s="7" t="s">
        <v>23</v>
      </c>
      <c r="P227" s="7" t="s">
        <v>46</v>
      </c>
      <c r="Q227" s="7" t="s">
        <v>25</v>
      </c>
      <c r="R227" s="10">
        <v>-8787.17</v>
      </c>
      <c r="S227" s="10">
        <v>1674.24</v>
      </c>
      <c r="T227" s="9" t="s">
        <v>33</v>
      </c>
      <c r="U227" s="9"/>
      <c r="V227" s="9"/>
      <c r="W227" s="9"/>
      <c r="X227" s="9"/>
      <c r="Y227" s="9"/>
      <c r="Z227" s="9"/>
      <c r="AA227" s="9"/>
      <c r="AB227" s="9"/>
    </row>
    <row r="228">
      <c r="A228" s="5">
        <v>41864.0</v>
      </c>
      <c r="B228" s="6">
        <v>2014.0</v>
      </c>
      <c r="C228" s="7" t="s">
        <v>77</v>
      </c>
      <c r="D228" s="7" t="s">
        <v>51</v>
      </c>
      <c r="E228" s="7" t="s">
        <v>32</v>
      </c>
      <c r="F228" s="6">
        <v>6092.0</v>
      </c>
      <c r="G228" s="6">
        <v>197698.12</v>
      </c>
      <c r="H228" s="6">
        <v>32.45</v>
      </c>
      <c r="I228" s="8">
        <v>33.6694238345371</v>
      </c>
      <c r="J228" s="6">
        <v>205114.13</v>
      </c>
      <c r="K228" s="6">
        <v>-7416.01</v>
      </c>
      <c r="L228" s="6">
        <v>-3.75</v>
      </c>
      <c r="M228" s="6">
        <f t="shared" si="1"/>
        <v>-1.21733585</v>
      </c>
      <c r="N228" s="6">
        <v>-3.75</v>
      </c>
      <c r="O228" s="7" t="s">
        <v>23</v>
      </c>
      <c r="P228" s="7" t="s">
        <v>46</v>
      </c>
      <c r="Q228" s="7" t="s">
        <v>25</v>
      </c>
      <c r="R228" s="10">
        <v>-7112.93</v>
      </c>
      <c r="S228" s="10">
        <v>-303.08</v>
      </c>
      <c r="T228" s="9" t="s">
        <v>29</v>
      </c>
      <c r="U228" s="9"/>
      <c r="V228" s="9"/>
      <c r="W228" s="9"/>
      <c r="X228" s="9"/>
      <c r="Y228" s="9"/>
      <c r="Z228" s="9"/>
      <c r="AA228" s="9"/>
      <c r="AB228" s="9"/>
    </row>
    <row r="229">
      <c r="A229" s="5">
        <v>41865.0</v>
      </c>
      <c r="B229" s="6">
        <v>2014.0</v>
      </c>
      <c r="C229" s="7" t="s">
        <v>77</v>
      </c>
      <c r="D229" s="7" t="s">
        <v>52</v>
      </c>
      <c r="E229" s="7" t="s">
        <v>35</v>
      </c>
      <c r="F229" s="6">
        <v>5485.0</v>
      </c>
      <c r="G229" s="6">
        <v>177908.84</v>
      </c>
      <c r="H229" s="6">
        <v>32.44</v>
      </c>
      <c r="I229" s="8">
        <v>33.67138195077484</v>
      </c>
      <c r="J229" s="6">
        <v>184687.53</v>
      </c>
      <c r="K229" s="6">
        <v>-6778.69</v>
      </c>
      <c r="L229" s="6">
        <v>-3.81</v>
      </c>
      <c r="M229" s="6">
        <f t="shared" si="1"/>
        <v>-1.235859617</v>
      </c>
      <c r="N229" s="6">
        <v>-3.81</v>
      </c>
      <c r="O229" s="7" t="s">
        <v>23</v>
      </c>
      <c r="P229" s="7" t="s">
        <v>46</v>
      </c>
      <c r="Q229" s="7" t="s">
        <v>25</v>
      </c>
      <c r="R229" s="10">
        <v>-7416.01</v>
      </c>
      <c r="S229" s="10">
        <v>637.32</v>
      </c>
      <c r="T229" s="9" t="s">
        <v>33</v>
      </c>
      <c r="U229" s="9"/>
      <c r="V229" s="9"/>
      <c r="W229" s="9"/>
      <c r="X229" s="9"/>
      <c r="Y229" s="9"/>
      <c r="Z229" s="9"/>
      <c r="AA229" s="9"/>
      <c r="AB229" s="9"/>
    </row>
    <row r="230">
      <c r="A230" s="5">
        <v>41866.0</v>
      </c>
      <c r="B230" s="6">
        <v>2014.0</v>
      </c>
      <c r="C230" s="7" t="s">
        <v>77</v>
      </c>
      <c r="D230" s="7" t="s">
        <v>53</v>
      </c>
      <c r="E230" s="7" t="s">
        <v>37</v>
      </c>
      <c r="F230" s="6">
        <v>14587.0</v>
      </c>
      <c r="G230" s="6">
        <v>473321.88</v>
      </c>
      <c r="H230" s="6">
        <v>32.45</v>
      </c>
      <c r="I230" s="8">
        <v>33.69845890176184</v>
      </c>
      <c r="J230" s="6">
        <v>491559.42</v>
      </c>
      <c r="K230" s="6">
        <v>-18237.54</v>
      </c>
      <c r="L230" s="6">
        <v>-3.85</v>
      </c>
      <c r="M230" s="6">
        <f t="shared" si="1"/>
        <v>-1.25025982</v>
      </c>
      <c r="N230" s="6">
        <v>-3.85</v>
      </c>
      <c r="O230" s="7" t="s">
        <v>23</v>
      </c>
      <c r="P230" s="7" t="s">
        <v>46</v>
      </c>
      <c r="Q230" s="7" t="s">
        <v>25</v>
      </c>
      <c r="R230" s="10">
        <v>-6778.69</v>
      </c>
      <c r="S230" s="10">
        <v>-11458.85</v>
      </c>
      <c r="T230" s="9" t="s">
        <v>29</v>
      </c>
      <c r="U230" s="9"/>
      <c r="V230" s="9"/>
      <c r="W230" s="9"/>
      <c r="X230" s="9"/>
      <c r="Y230" s="9"/>
      <c r="Z230" s="9"/>
      <c r="AA230" s="9"/>
      <c r="AB230" s="9"/>
    </row>
    <row r="231">
      <c r="A231" s="5">
        <v>41867.0</v>
      </c>
      <c r="B231" s="6">
        <v>2014.0</v>
      </c>
      <c r="C231" s="7" t="s">
        <v>77</v>
      </c>
      <c r="D231" s="7" t="s">
        <v>54</v>
      </c>
      <c r="E231" s="7" t="s">
        <v>39</v>
      </c>
      <c r="F231" s="6">
        <v>16686.0</v>
      </c>
      <c r="G231" s="6">
        <v>541600.89</v>
      </c>
      <c r="H231" s="6">
        <v>32.46</v>
      </c>
      <c r="I231" s="8">
        <v>33.738066043389665</v>
      </c>
      <c r="J231" s="6">
        <v>562953.37</v>
      </c>
      <c r="K231" s="6">
        <v>-21352.48</v>
      </c>
      <c r="L231" s="6">
        <v>-3.94</v>
      </c>
      <c r="M231" s="6">
        <f t="shared" si="1"/>
        <v>-1.279664389</v>
      </c>
      <c r="N231" s="6">
        <v>-3.94</v>
      </c>
      <c r="O231" s="7" t="s">
        <v>23</v>
      </c>
      <c r="P231" s="7" t="s">
        <v>46</v>
      </c>
      <c r="Q231" s="7" t="s">
        <v>25</v>
      </c>
      <c r="R231" s="10">
        <v>-18237.54</v>
      </c>
      <c r="S231" s="10">
        <v>-3114.94</v>
      </c>
      <c r="T231" s="9" t="s">
        <v>29</v>
      </c>
      <c r="U231" s="9"/>
      <c r="V231" s="9"/>
      <c r="W231" s="9"/>
      <c r="X231" s="9"/>
      <c r="Y231" s="9"/>
      <c r="Z231" s="9"/>
      <c r="AA231" s="9"/>
      <c r="AB231" s="9"/>
    </row>
    <row r="232">
      <c r="A232" s="5">
        <v>41868.0</v>
      </c>
      <c r="B232" s="6">
        <v>2014.0</v>
      </c>
      <c r="C232" s="7" t="s">
        <v>77</v>
      </c>
      <c r="D232" s="7" t="s">
        <v>55</v>
      </c>
      <c r="E232" s="7" t="s">
        <v>41</v>
      </c>
      <c r="F232" s="6">
        <v>7380.0</v>
      </c>
      <c r="G232" s="6">
        <v>239513.98</v>
      </c>
      <c r="H232" s="6">
        <v>32.45</v>
      </c>
      <c r="I232" s="8">
        <v>33.76736043360434</v>
      </c>
      <c r="J232" s="6">
        <v>249203.12</v>
      </c>
      <c r="K232" s="6">
        <v>-9689.14</v>
      </c>
      <c r="L232" s="6">
        <v>-4.05</v>
      </c>
      <c r="M232" s="6">
        <f t="shared" si="1"/>
        <v>-1.312891599</v>
      </c>
      <c r="N232" s="6">
        <v>-4.05</v>
      </c>
      <c r="O232" s="7" t="s">
        <v>23</v>
      </c>
      <c r="P232" s="7" t="s">
        <v>46</v>
      </c>
      <c r="Q232" s="7" t="s">
        <v>25</v>
      </c>
      <c r="R232" s="10">
        <v>-21352.48</v>
      </c>
      <c r="S232" s="10">
        <v>11663.34</v>
      </c>
      <c r="T232" s="9" t="s">
        <v>33</v>
      </c>
      <c r="U232" s="9"/>
      <c r="V232" s="9"/>
      <c r="W232" s="9"/>
      <c r="X232" s="9"/>
      <c r="Y232" s="9"/>
      <c r="Z232" s="9"/>
      <c r="AA232" s="9"/>
      <c r="AB232" s="9"/>
    </row>
    <row r="233">
      <c r="A233" s="5">
        <v>41869.0</v>
      </c>
      <c r="B233" s="6">
        <v>2014.0</v>
      </c>
      <c r="C233" s="7" t="s">
        <v>77</v>
      </c>
      <c r="D233" s="7" t="s">
        <v>56</v>
      </c>
      <c r="E233" s="7" t="s">
        <v>22</v>
      </c>
      <c r="F233" s="6">
        <v>7864.0</v>
      </c>
      <c r="G233" s="6">
        <v>255224.22</v>
      </c>
      <c r="H233" s="6">
        <v>32.45</v>
      </c>
      <c r="I233" s="8">
        <v>33.76558367243133</v>
      </c>
      <c r="J233" s="6">
        <v>265532.55</v>
      </c>
      <c r="K233" s="6">
        <v>-10308.32</v>
      </c>
      <c r="L233" s="6">
        <v>-4.04</v>
      </c>
      <c r="M233" s="6">
        <f t="shared" si="1"/>
        <v>-1.310824008</v>
      </c>
      <c r="N233" s="6">
        <v>-4.04</v>
      </c>
      <c r="O233" s="7" t="s">
        <v>23</v>
      </c>
      <c r="P233" s="7" t="s">
        <v>46</v>
      </c>
      <c r="Q233" s="7" t="s">
        <v>25</v>
      </c>
      <c r="R233" s="10">
        <v>-9689.14</v>
      </c>
      <c r="S233" s="10">
        <v>-619.18</v>
      </c>
      <c r="T233" s="9" t="s">
        <v>29</v>
      </c>
      <c r="U233" s="9"/>
      <c r="V233" s="9"/>
      <c r="W233" s="9"/>
      <c r="X233" s="9"/>
      <c r="Y233" s="9"/>
      <c r="Z233" s="9"/>
      <c r="AA233" s="9"/>
      <c r="AB233" s="9"/>
    </row>
    <row r="234">
      <c r="A234" s="5">
        <v>41870.0</v>
      </c>
      <c r="B234" s="6">
        <v>2014.0</v>
      </c>
      <c r="C234" s="7" t="s">
        <v>77</v>
      </c>
      <c r="D234" s="7" t="s">
        <v>57</v>
      </c>
      <c r="E234" s="7" t="s">
        <v>28</v>
      </c>
      <c r="F234" s="6">
        <v>4941.0</v>
      </c>
      <c r="G234" s="6">
        <v>160372.04</v>
      </c>
      <c r="H234" s="6">
        <v>32.46</v>
      </c>
      <c r="I234" s="8">
        <v>33.803108682452944</v>
      </c>
      <c r="J234" s="6">
        <v>167021.16</v>
      </c>
      <c r="K234" s="6">
        <v>-6649.12</v>
      </c>
      <c r="L234" s="6">
        <v>-4.15</v>
      </c>
      <c r="M234" s="6">
        <f t="shared" si="1"/>
        <v>-1.345703299</v>
      </c>
      <c r="N234" s="6">
        <v>-4.15</v>
      </c>
      <c r="O234" s="7" t="s">
        <v>23</v>
      </c>
      <c r="P234" s="7" t="s">
        <v>46</v>
      </c>
      <c r="Q234" s="7" t="s">
        <v>25</v>
      </c>
      <c r="R234" s="10">
        <v>-10308.32</v>
      </c>
      <c r="S234" s="10">
        <v>3659.21</v>
      </c>
      <c r="T234" s="9" t="s">
        <v>33</v>
      </c>
      <c r="U234" s="9"/>
      <c r="V234" s="9"/>
      <c r="W234" s="9"/>
      <c r="X234" s="9"/>
      <c r="Y234" s="9"/>
      <c r="Z234" s="9"/>
      <c r="AA234" s="9"/>
      <c r="AB234" s="9"/>
    </row>
    <row r="235">
      <c r="A235" s="5">
        <v>41871.0</v>
      </c>
      <c r="B235" s="6">
        <v>2014.0</v>
      </c>
      <c r="C235" s="7" t="s">
        <v>77</v>
      </c>
      <c r="D235" s="7" t="s">
        <v>58</v>
      </c>
      <c r="E235" s="7" t="s">
        <v>32</v>
      </c>
      <c r="F235" s="6">
        <v>5151.0</v>
      </c>
      <c r="G235" s="6">
        <v>171587.33</v>
      </c>
      <c r="H235" s="6">
        <v>33.31</v>
      </c>
      <c r="I235" s="8">
        <v>33.920244612696564</v>
      </c>
      <c r="J235" s="6">
        <v>174723.18</v>
      </c>
      <c r="K235" s="6">
        <v>-3135.84</v>
      </c>
      <c r="L235" s="6">
        <v>-1.83</v>
      </c>
      <c r="M235" s="6">
        <f t="shared" si="1"/>
        <v>-0.6087827606</v>
      </c>
      <c r="N235" s="6">
        <v>-1.83</v>
      </c>
      <c r="O235" s="7" t="s">
        <v>23</v>
      </c>
      <c r="P235" s="7" t="s">
        <v>46</v>
      </c>
      <c r="Q235" s="7" t="s">
        <v>25</v>
      </c>
      <c r="R235" s="10">
        <v>-6649.12</v>
      </c>
      <c r="S235" s="10">
        <v>3513.27</v>
      </c>
      <c r="T235" s="9" t="s">
        <v>33</v>
      </c>
      <c r="U235" s="9"/>
      <c r="V235" s="9"/>
      <c r="W235" s="9"/>
      <c r="X235" s="9"/>
      <c r="Y235" s="9"/>
      <c r="Z235" s="9"/>
      <c r="AA235" s="9"/>
      <c r="AB235" s="9"/>
    </row>
    <row r="236">
      <c r="A236" s="5">
        <v>41872.0</v>
      </c>
      <c r="B236" s="6">
        <v>2014.0</v>
      </c>
      <c r="C236" s="7" t="s">
        <v>77</v>
      </c>
      <c r="D236" s="7" t="s">
        <v>59</v>
      </c>
      <c r="E236" s="7" t="s">
        <v>35</v>
      </c>
      <c r="F236" s="6">
        <v>4928.0</v>
      </c>
      <c r="G236" s="6">
        <v>164208.06</v>
      </c>
      <c r="H236" s="6">
        <v>33.32</v>
      </c>
      <c r="I236" s="8">
        <v>33.93661728896104</v>
      </c>
      <c r="J236" s="6">
        <v>167239.65</v>
      </c>
      <c r="K236" s="6">
        <v>-3031.59</v>
      </c>
      <c r="L236" s="6">
        <v>-1.85</v>
      </c>
      <c r="M236" s="6">
        <f t="shared" si="1"/>
        <v>-0.6151765422</v>
      </c>
      <c r="N236" s="6">
        <v>-1.85</v>
      </c>
      <c r="O236" s="7" t="s">
        <v>23</v>
      </c>
      <c r="P236" s="7" t="s">
        <v>46</v>
      </c>
      <c r="Q236" s="7" t="s">
        <v>25</v>
      </c>
      <c r="R236" s="10">
        <v>-3135.84</v>
      </c>
      <c r="S236" s="10">
        <v>104.26</v>
      </c>
      <c r="T236" s="9" t="s">
        <v>33</v>
      </c>
      <c r="U236" s="9"/>
      <c r="V236" s="9"/>
      <c r="W236" s="9"/>
      <c r="X236" s="9"/>
      <c r="Y236" s="9"/>
      <c r="Z236" s="9"/>
      <c r="AA236" s="9"/>
      <c r="AB236" s="9"/>
    </row>
    <row r="237">
      <c r="A237" s="5">
        <v>41873.0</v>
      </c>
      <c r="B237" s="6">
        <v>2014.0</v>
      </c>
      <c r="C237" s="7" t="s">
        <v>77</v>
      </c>
      <c r="D237" s="7" t="s">
        <v>60</v>
      </c>
      <c r="E237" s="7" t="s">
        <v>37</v>
      </c>
      <c r="F237" s="6">
        <v>11309.0</v>
      </c>
      <c r="G237" s="6">
        <v>376778.84</v>
      </c>
      <c r="H237" s="6">
        <v>33.32</v>
      </c>
      <c r="I237" s="8">
        <v>33.95579184720134</v>
      </c>
      <c r="J237" s="6">
        <v>384006.05</v>
      </c>
      <c r="K237" s="6">
        <v>-7227.21</v>
      </c>
      <c r="L237" s="6">
        <v>-1.92</v>
      </c>
      <c r="M237" s="6">
        <f t="shared" si="1"/>
        <v>-0.6390671147</v>
      </c>
      <c r="N237" s="6">
        <v>-1.92</v>
      </c>
      <c r="O237" s="7" t="s">
        <v>23</v>
      </c>
      <c r="P237" s="7" t="s">
        <v>46</v>
      </c>
      <c r="Q237" s="7" t="s">
        <v>25</v>
      </c>
      <c r="R237" s="10">
        <v>-3031.59</v>
      </c>
      <c r="S237" s="10">
        <v>-4195.62</v>
      </c>
      <c r="T237" s="9" t="s">
        <v>29</v>
      </c>
      <c r="U237" s="9"/>
      <c r="V237" s="9"/>
      <c r="W237" s="9"/>
      <c r="X237" s="9"/>
      <c r="Y237" s="9"/>
      <c r="Z237" s="9"/>
      <c r="AA237" s="9"/>
      <c r="AB237" s="9"/>
    </row>
    <row r="238">
      <c r="A238" s="5">
        <v>41874.0</v>
      </c>
      <c r="B238" s="6">
        <v>2014.0</v>
      </c>
      <c r="C238" s="7" t="s">
        <v>77</v>
      </c>
      <c r="D238" s="7" t="s">
        <v>61</v>
      </c>
      <c r="E238" s="7" t="s">
        <v>39</v>
      </c>
      <c r="F238" s="6">
        <v>13613.0</v>
      </c>
      <c r="G238" s="6">
        <v>453633.47</v>
      </c>
      <c r="H238" s="6">
        <v>33.32</v>
      </c>
      <c r="I238" s="8">
        <v>34.02997649305811</v>
      </c>
      <c r="J238" s="6">
        <v>463250.07</v>
      </c>
      <c r="K238" s="6">
        <v>-9616.6</v>
      </c>
      <c r="L238" s="6">
        <v>-2.12</v>
      </c>
      <c r="M238" s="6">
        <f t="shared" si="1"/>
        <v>-0.7064276794</v>
      </c>
      <c r="N238" s="6">
        <v>-2.12</v>
      </c>
      <c r="O238" s="7" t="s">
        <v>23</v>
      </c>
      <c r="P238" s="7" t="s">
        <v>46</v>
      </c>
      <c r="Q238" s="7" t="s">
        <v>25</v>
      </c>
      <c r="R238" s="10">
        <v>-7227.21</v>
      </c>
      <c r="S238" s="10">
        <v>-2389.39</v>
      </c>
      <c r="T238" s="9" t="s">
        <v>29</v>
      </c>
      <c r="U238" s="9"/>
      <c r="V238" s="9"/>
      <c r="W238" s="9"/>
      <c r="X238" s="9"/>
      <c r="Y238" s="9"/>
      <c r="Z238" s="9"/>
      <c r="AA238" s="9"/>
      <c r="AB238" s="9"/>
    </row>
    <row r="239">
      <c r="A239" s="5">
        <v>41875.0</v>
      </c>
      <c r="B239" s="6">
        <v>2014.0</v>
      </c>
      <c r="C239" s="7" t="s">
        <v>77</v>
      </c>
      <c r="D239" s="7" t="s">
        <v>62</v>
      </c>
      <c r="E239" s="7" t="s">
        <v>41</v>
      </c>
      <c r="F239" s="6">
        <v>6424.0</v>
      </c>
      <c r="G239" s="6">
        <v>214392.4</v>
      </c>
      <c r="H239" s="6">
        <v>33.37</v>
      </c>
      <c r="I239" s="8">
        <v>33.989383561643834</v>
      </c>
      <c r="J239" s="6">
        <v>218347.8</v>
      </c>
      <c r="K239" s="6">
        <v>-3955.4</v>
      </c>
      <c r="L239" s="6">
        <v>-1.84</v>
      </c>
      <c r="M239" s="6">
        <f t="shared" si="1"/>
        <v>-0.6157222914</v>
      </c>
      <c r="N239" s="6">
        <v>-1.84</v>
      </c>
      <c r="O239" s="7" t="s">
        <v>45</v>
      </c>
      <c r="P239" s="7" t="s">
        <v>46</v>
      </c>
      <c r="Q239" s="7" t="s">
        <v>25</v>
      </c>
      <c r="R239" s="10">
        <v>-9616.6</v>
      </c>
      <c r="S239" s="10">
        <v>5661.2</v>
      </c>
      <c r="T239" s="9" t="s">
        <v>33</v>
      </c>
      <c r="U239" s="9"/>
      <c r="V239" s="9"/>
      <c r="W239" s="9"/>
      <c r="X239" s="9"/>
      <c r="Y239" s="9"/>
      <c r="Z239" s="9"/>
      <c r="AA239" s="9"/>
      <c r="AB239" s="9"/>
    </row>
    <row r="240">
      <c r="A240" s="5">
        <v>41876.0</v>
      </c>
      <c r="B240" s="6">
        <v>2014.0</v>
      </c>
      <c r="C240" s="7" t="s">
        <v>77</v>
      </c>
      <c r="D240" s="7" t="s">
        <v>63</v>
      </c>
      <c r="E240" s="7" t="s">
        <v>22</v>
      </c>
      <c r="F240" s="6">
        <v>9493.0</v>
      </c>
      <c r="G240" s="6">
        <v>316404.06</v>
      </c>
      <c r="H240" s="6">
        <v>33.33</v>
      </c>
      <c r="I240" s="8">
        <v>34.0559780891183</v>
      </c>
      <c r="J240" s="6">
        <v>323293.4</v>
      </c>
      <c r="K240" s="6">
        <v>-6889.33</v>
      </c>
      <c r="L240" s="6">
        <v>-2.18</v>
      </c>
      <c r="M240" s="6">
        <f t="shared" si="1"/>
        <v>-0.7257273781</v>
      </c>
      <c r="N240" s="6">
        <v>-2.18</v>
      </c>
      <c r="O240" s="7" t="s">
        <v>23</v>
      </c>
      <c r="P240" s="7" t="s">
        <v>46</v>
      </c>
      <c r="Q240" s="7" t="s">
        <v>25</v>
      </c>
      <c r="R240" s="10">
        <v>-3955.4</v>
      </c>
      <c r="S240" s="10">
        <v>-2933.94</v>
      </c>
      <c r="T240" s="9" t="s">
        <v>29</v>
      </c>
      <c r="U240" s="9"/>
      <c r="V240" s="9"/>
      <c r="W240" s="9"/>
      <c r="X240" s="9"/>
      <c r="Y240" s="9"/>
      <c r="Z240" s="9"/>
      <c r="AA240" s="9"/>
      <c r="AB240" s="9"/>
    </row>
    <row r="241">
      <c r="A241" s="5">
        <v>41877.0</v>
      </c>
      <c r="B241" s="6">
        <v>2014.0</v>
      </c>
      <c r="C241" s="7" t="s">
        <v>77</v>
      </c>
      <c r="D241" s="7" t="s">
        <v>64</v>
      </c>
      <c r="E241" s="7" t="s">
        <v>28</v>
      </c>
      <c r="F241" s="6">
        <v>7619.0</v>
      </c>
      <c r="G241" s="6">
        <v>242824.5</v>
      </c>
      <c r="H241" s="6">
        <v>31.87</v>
      </c>
      <c r="I241" s="8">
        <v>34.106905105656914</v>
      </c>
      <c r="J241" s="6">
        <v>259860.51</v>
      </c>
      <c r="K241" s="6">
        <v>-17036.01</v>
      </c>
      <c r="L241" s="6">
        <v>-7.02</v>
      </c>
      <c r="M241" s="6">
        <f t="shared" si="1"/>
        <v>-2.235990287</v>
      </c>
      <c r="N241" s="6">
        <v>-7.02</v>
      </c>
      <c r="O241" s="7" t="s">
        <v>23</v>
      </c>
      <c r="P241" s="7" t="s">
        <v>46</v>
      </c>
      <c r="Q241" s="7" t="s">
        <v>25</v>
      </c>
      <c r="R241" s="10">
        <v>-6889.33</v>
      </c>
      <c r="S241" s="10">
        <v>-10146.68</v>
      </c>
      <c r="T241" s="9" t="s">
        <v>29</v>
      </c>
      <c r="U241" s="9"/>
      <c r="V241" s="9"/>
      <c r="W241" s="9"/>
      <c r="X241" s="9"/>
      <c r="Y241" s="9"/>
      <c r="Z241" s="9"/>
      <c r="AA241" s="9"/>
      <c r="AB241" s="9"/>
    </row>
    <row r="242">
      <c r="A242" s="5">
        <v>41878.0</v>
      </c>
      <c r="B242" s="6">
        <v>2014.0</v>
      </c>
      <c r="C242" s="7" t="s">
        <v>77</v>
      </c>
      <c r="D242" s="7" t="s">
        <v>65</v>
      </c>
      <c r="E242" s="7" t="s">
        <v>32</v>
      </c>
      <c r="F242" s="6">
        <v>8909.0</v>
      </c>
      <c r="G242" s="6">
        <v>274712.25</v>
      </c>
      <c r="H242" s="6">
        <v>30.84</v>
      </c>
      <c r="I242" s="8">
        <v>34.160374901784714</v>
      </c>
      <c r="J242" s="6">
        <v>304334.78</v>
      </c>
      <c r="K242" s="6">
        <v>-29622.53</v>
      </c>
      <c r="L242" s="6">
        <v>-10.78</v>
      </c>
      <c r="M242" s="6">
        <f t="shared" si="1"/>
        <v>-3.325011786</v>
      </c>
      <c r="N242" s="6">
        <v>-10.78</v>
      </c>
      <c r="O242" s="7" t="s">
        <v>23</v>
      </c>
      <c r="P242" s="7" t="s">
        <v>46</v>
      </c>
      <c r="Q242" s="7" t="s">
        <v>25</v>
      </c>
      <c r="R242" s="10">
        <v>-17036.01</v>
      </c>
      <c r="S242" s="10">
        <v>-12586.52</v>
      </c>
      <c r="T242" s="9" t="s">
        <v>29</v>
      </c>
      <c r="U242" s="9"/>
      <c r="V242" s="9"/>
      <c r="W242" s="9"/>
      <c r="X242" s="9"/>
      <c r="Y242" s="9"/>
      <c r="Z242" s="9"/>
      <c r="AA242" s="9"/>
      <c r="AB242" s="9"/>
    </row>
    <row r="243">
      <c r="A243" s="5">
        <v>41879.0</v>
      </c>
      <c r="B243" s="6">
        <v>2014.0</v>
      </c>
      <c r="C243" s="7" t="s">
        <v>77</v>
      </c>
      <c r="D243" s="7" t="s">
        <v>66</v>
      </c>
      <c r="E243" s="7" t="s">
        <v>35</v>
      </c>
      <c r="F243" s="6">
        <v>8400.0</v>
      </c>
      <c r="G243" s="6">
        <v>258066.17</v>
      </c>
      <c r="H243" s="6">
        <v>30.72</v>
      </c>
      <c r="I243" s="8">
        <v>34.18673452380953</v>
      </c>
      <c r="J243" s="6">
        <v>287168.57</v>
      </c>
      <c r="K243" s="6">
        <v>-29102.4</v>
      </c>
      <c r="L243" s="6">
        <v>-11.28</v>
      </c>
      <c r="M243" s="6">
        <f t="shared" si="1"/>
        <v>-3.464571429</v>
      </c>
      <c r="N243" s="6">
        <v>-11.28</v>
      </c>
      <c r="O243" s="7" t="s">
        <v>23</v>
      </c>
      <c r="P243" s="7" t="s">
        <v>46</v>
      </c>
      <c r="Q243" s="7" t="s">
        <v>25</v>
      </c>
      <c r="R243" s="10">
        <v>-29622.53</v>
      </c>
      <c r="S243" s="10">
        <v>520.13</v>
      </c>
      <c r="T243" s="9" t="s">
        <v>33</v>
      </c>
      <c r="U243" s="9"/>
      <c r="V243" s="9"/>
      <c r="W243" s="9"/>
      <c r="X243" s="9"/>
      <c r="Y243" s="9"/>
      <c r="Z243" s="9"/>
      <c r="AA243" s="9"/>
      <c r="AB243" s="9"/>
    </row>
    <row r="244">
      <c r="A244" s="5">
        <v>41880.0</v>
      </c>
      <c r="B244" s="6">
        <v>2014.0</v>
      </c>
      <c r="C244" s="7" t="s">
        <v>77</v>
      </c>
      <c r="D244" s="7" t="s">
        <v>67</v>
      </c>
      <c r="E244" s="7" t="s">
        <v>37</v>
      </c>
      <c r="F244" s="6">
        <v>19317.0</v>
      </c>
      <c r="G244" s="6">
        <v>594007.21</v>
      </c>
      <c r="H244" s="6">
        <v>30.75</v>
      </c>
      <c r="I244" s="8">
        <v>34.21534399751514</v>
      </c>
      <c r="J244" s="6">
        <v>660937.8</v>
      </c>
      <c r="K244" s="6">
        <v>-66930.59</v>
      </c>
      <c r="L244" s="6">
        <v>-11.27</v>
      </c>
      <c r="M244" s="6">
        <f t="shared" si="1"/>
        <v>-3.464854273</v>
      </c>
      <c r="N244" s="6">
        <v>-11.27</v>
      </c>
      <c r="O244" s="7" t="s">
        <v>23</v>
      </c>
      <c r="P244" s="7" t="s">
        <v>46</v>
      </c>
      <c r="Q244" s="7" t="s">
        <v>25</v>
      </c>
      <c r="R244" s="10">
        <v>-29102.4</v>
      </c>
      <c r="S244" s="10">
        <v>-37828.19</v>
      </c>
      <c r="T244" s="9" t="s">
        <v>29</v>
      </c>
      <c r="U244" s="9"/>
      <c r="V244" s="9"/>
      <c r="W244" s="9"/>
      <c r="X244" s="9"/>
      <c r="Y244" s="9"/>
      <c r="Z244" s="9"/>
      <c r="AA244" s="9"/>
      <c r="AB244" s="9"/>
    </row>
    <row r="245">
      <c r="A245" s="5">
        <v>41881.0</v>
      </c>
      <c r="B245" s="6">
        <v>2014.0</v>
      </c>
      <c r="C245" s="7" t="s">
        <v>77</v>
      </c>
      <c r="D245" s="7" t="s">
        <v>21</v>
      </c>
      <c r="E245" s="7" t="s">
        <v>39</v>
      </c>
      <c r="F245" s="6">
        <v>23310.0</v>
      </c>
      <c r="G245" s="6">
        <v>717096.71</v>
      </c>
      <c r="H245" s="6">
        <v>30.76</v>
      </c>
      <c r="I245" s="8">
        <v>34.22517760617761</v>
      </c>
      <c r="J245" s="6">
        <v>797788.89</v>
      </c>
      <c r="K245" s="6">
        <v>-80692.18</v>
      </c>
      <c r="L245" s="6">
        <v>-11.25</v>
      </c>
      <c r="M245" s="6">
        <f t="shared" si="1"/>
        <v>-3.461697984</v>
      </c>
      <c r="N245" s="6">
        <v>-11.25</v>
      </c>
      <c r="O245" s="7" t="s">
        <v>23</v>
      </c>
      <c r="P245" s="7" t="s">
        <v>46</v>
      </c>
      <c r="Q245" s="7" t="s">
        <v>25</v>
      </c>
      <c r="R245" s="10">
        <v>-66930.59</v>
      </c>
      <c r="S245" s="10">
        <v>-13761.59</v>
      </c>
      <c r="T245" s="9" t="s">
        <v>29</v>
      </c>
      <c r="U245" s="9"/>
      <c r="V245" s="9"/>
      <c r="W245" s="9"/>
      <c r="X245" s="9"/>
      <c r="Y245" s="9"/>
      <c r="Z245" s="9"/>
      <c r="AA245" s="9"/>
      <c r="AB245" s="9"/>
    </row>
    <row r="246">
      <c r="A246" s="5">
        <v>41882.0</v>
      </c>
      <c r="B246" s="6">
        <v>2014.0</v>
      </c>
      <c r="C246" s="7" t="s">
        <v>77</v>
      </c>
      <c r="D246" s="7" t="s">
        <v>27</v>
      </c>
      <c r="E246" s="7" t="s">
        <v>41</v>
      </c>
      <c r="F246" s="6">
        <v>11646.0</v>
      </c>
      <c r="G246" s="6">
        <v>358171.0</v>
      </c>
      <c r="H246" s="6">
        <v>30.75</v>
      </c>
      <c r="I246" s="8">
        <v>34.22313326464022</v>
      </c>
      <c r="J246" s="6">
        <v>398562.61</v>
      </c>
      <c r="K246" s="6">
        <v>-40391.61</v>
      </c>
      <c r="L246" s="6">
        <v>-11.28</v>
      </c>
      <c r="M246" s="6">
        <f t="shared" si="1"/>
        <v>-3.468281813</v>
      </c>
      <c r="N246" s="6">
        <v>-11.28</v>
      </c>
      <c r="O246" s="7" t="s">
        <v>23</v>
      </c>
      <c r="P246" s="7" t="s">
        <v>46</v>
      </c>
      <c r="Q246" s="7" t="s">
        <v>25</v>
      </c>
      <c r="R246" s="10">
        <v>-80692.18</v>
      </c>
      <c r="S246" s="10">
        <v>40300.57</v>
      </c>
      <c r="T246" s="9" t="s">
        <v>33</v>
      </c>
      <c r="U246" s="9"/>
      <c r="V246" s="9"/>
      <c r="W246" s="9"/>
      <c r="X246" s="9"/>
      <c r="Y246" s="9"/>
      <c r="Z246" s="9"/>
      <c r="AA246" s="9"/>
      <c r="AB246" s="9"/>
    </row>
    <row r="247">
      <c r="A247" s="5">
        <v>41883.0</v>
      </c>
      <c r="B247" s="6">
        <v>2014.0</v>
      </c>
      <c r="C247" s="7" t="s">
        <v>78</v>
      </c>
      <c r="D247" s="7" t="s">
        <v>31</v>
      </c>
      <c r="E247" s="7" t="s">
        <v>22</v>
      </c>
      <c r="F247" s="6">
        <v>19366.0</v>
      </c>
      <c r="G247" s="6">
        <v>594953.63</v>
      </c>
      <c r="H247" s="6">
        <v>30.72</v>
      </c>
      <c r="I247" s="8">
        <v>34.22756325518951</v>
      </c>
      <c r="J247" s="6">
        <v>662850.99</v>
      </c>
      <c r="K247" s="6">
        <v>-67897.36</v>
      </c>
      <c r="L247" s="6">
        <v>-11.41</v>
      </c>
      <c r="M247" s="6">
        <f t="shared" si="1"/>
        <v>-3.506008468</v>
      </c>
      <c r="N247" s="6">
        <v>-11.41</v>
      </c>
      <c r="O247" s="7" t="s">
        <v>23</v>
      </c>
      <c r="P247" s="7" t="s">
        <v>46</v>
      </c>
      <c r="Q247" s="7" t="s">
        <v>25</v>
      </c>
      <c r="R247" s="10">
        <v>-40391.61</v>
      </c>
      <c r="S247" s="10">
        <v>-27505.74</v>
      </c>
      <c r="T247" s="9" t="s">
        <v>29</v>
      </c>
      <c r="U247" s="9"/>
      <c r="V247" s="9"/>
      <c r="W247" s="9"/>
      <c r="X247" s="9"/>
      <c r="Y247" s="9"/>
      <c r="Z247" s="9"/>
      <c r="AA247" s="9"/>
      <c r="AB247" s="9"/>
    </row>
    <row r="248">
      <c r="A248" s="5">
        <v>41884.0</v>
      </c>
      <c r="B248" s="6">
        <v>2014.0</v>
      </c>
      <c r="C248" s="7" t="s">
        <v>78</v>
      </c>
      <c r="D248" s="7" t="s">
        <v>34</v>
      </c>
      <c r="E248" s="7" t="s">
        <v>28</v>
      </c>
      <c r="F248" s="6">
        <v>15291.0</v>
      </c>
      <c r="G248" s="6">
        <v>469469.94</v>
      </c>
      <c r="H248" s="6">
        <v>30.7</v>
      </c>
      <c r="I248" s="8">
        <v>34.234536655549014</v>
      </c>
      <c r="J248" s="6">
        <v>523480.3</v>
      </c>
      <c r="K248" s="6">
        <v>-54010.36</v>
      </c>
      <c r="L248" s="6">
        <v>-11.5</v>
      </c>
      <c r="M248" s="6">
        <f t="shared" si="1"/>
        <v>-3.532166634</v>
      </c>
      <c r="N248" s="6">
        <v>-11.5</v>
      </c>
      <c r="O248" s="7" t="s">
        <v>23</v>
      </c>
      <c r="P248" s="7" t="s">
        <v>46</v>
      </c>
      <c r="Q248" s="7" t="s">
        <v>25</v>
      </c>
      <c r="R248" s="10">
        <v>-67897.36</v>
      </c>
      <c r="S248" s="10">
        <v>13886.99</v>
      </c>
      <c r="T248" s="9" t="s">
        <v>33</v>
      </c>
      <c r="U248" s="9"/>
      <c r="V248" s="9"/>
      <c r="W248" s="9"/>
      <c r="X248" s="9"/>
      <c r="Y248" s="9"/>
      <c r="Z248" s="9"/>
      <c r="AA248" s="9"/>
      <c r="AB248" s="9"/>
    </row>
    <row r="249">
      <c r="A249" s="5">
        <v>41885.0</v>
      </c>
      <c r="B249" s="6">
        <v>2014.0</v>
      </c>
      <c r="C249" s="7" t="s">
        <v>78</v>
      </c>
      <c r="D249" s="7" t="s">
        <v>36</v>
      </c>
      <c r="E249" s="7" t="s">
        <v>32</v>
      </c>
      <c r="F249" s="6">
        <v>15100.0</v>
      </c>
      <c r="G249" s="6">
        <v>464067.8</v>
      </c>
      <c r="H249" s="6">
        <v>30.73</v>
      </c>
      <c r="I249" s="8">
        <v>34.250366887417215</v>
      </c>
      <c r="J249" s="6">
        <v>517180.54</v>
      </c>
      <c r="K249" s="6">
        <v>-53112.74</v>
      </c>
      <c r="L249" s="6">
        <v>-11.45</v>
      </c>
      <c r="M249" s="6">
        <f t="shared" si="1"/>
        <v>-3.5174</v>
      </c>
      <c r="N249" s="6">
        <v>-11.45</v>
      </c>
      <c r="O249" s="7" t="s">
        <v>23</v>
      </c>
      <c r="P249" s="7" t="s">
        <v>46</v>
      </c>
      <c r="Q249" s="7" t="s">
        <v>25</v>
      </c>
      <c r="R249" s="10">
        <v>-54010.36</v>
      </c>
      <c r="S249" s="10">
        <v>897.62</v>
      </c>
      <c r="T249" s="9" t="s">
        <v>33</v>
      </c>
      <c r="U249" s="9"/>
      <c r="V249" s="9"/>
      <c r="W249" s="9"/>
      <c r="X249" s="9"/>
      <c r="Y249" s="9"/>
      <c r="Z249" s="9"/>
      <c r="AA249" s="9"/>
      <c r="AB249" s="9"/>
    </row>
    <row r="250">
      <c r="A250" s="5">
        <v>41886.0</v>
      </c>
      <c r="B250" s="6">
        <v>2014.0</v>
      </c>
      <c r="C250" s="7" t="s">
        <v>78</v>
      </c>
      <c r="D250" s="7" t="s">
        <v>38</v>
      </c>
      <c r="E250" s="7" t="s">
        <v>35</v>
      </c>
      <c r="F250" s="6">
        <v>10164.0</v>
      </c>
      <c r="G250" s="6">
        <v>312311.95</v>
      </c>
      <c r="H250" s="6">
        <v>30.73</v>
      </c>
      <c r="I250" s="8">
        <v>34.25591499409681</v>
      </c>
      <c r="J250" s="6">
        <v>348177.12</v>
      </c>
      <c r="K250" s="6">
        <v>-35865.17</v>
      </c>
      <c r="L250" s="6">
        <v>-11.48</v>
      </c>
      <c r="M250" s="6">
        <f t="shared" si="1"/>
        <v>-3.528647186</v>
      </c>
      <c r="N250" s="6">
        <v>-11.48</v>
      </c>
      <c r="O250" s="7" t="s">
        <v>23</v>
      </c>
      <c r="P250" s="7" t="s">
        <v>46</v>
      </c>
      <c r="Q250" s="7" t="s">
        <v>25</v>
      </c>
      <c r="R250" s="10">
        <v>-53112.74</v>
      </c>
      <c r="S250" s="10">
        <v>17247.58</v>
      </c>
      <c r="T250" s="9" t="s">
        <v>33</v>
      </c>
      <c r="U250" s="9"/>
      <c r="V250" s="9"/>
      <c r="W250" s="9"/>
      <c r="X250" s="9"/>
      <c r="Y250" s="9"/>
      <c r="Z250" s="9"/>
      <c r="AA250" s="9"/>
      <c r="AB250" s="9"/>
    </row>
    <row r="251">
      <c r="A251" s="5">
        <v>41887.0</v>
      </c>
      <c r="B251" s="6">
        <v>2014.0</v>
      </c>
      <c r="C251" s="7" t="s">
        <v>78</v>
      </c>
      <c r="D251" s="7" t="s">
        <v>40</v>
      </c>
      <c r="E251" s="7" t="s">
        <v>37</v>
      </c>
      <c r="F251" s="6">
        <v>16310.0</v>
      </c>
      <c r="G251" s="6">
        <v>501279.0</v>
      </c>
      <c r="H251" s="6">
        <v>30.73</v>
      </c>
      <c r="I251" s="8">
        <v>34.25914714898835</v>
      </c>
      <c r="J251" s="6">
        <v>558766.69</v>
      </c>
      <c r="K251" s="6">
        <v>-57487.69</v>
      </c>
      <c r="L251" s="6">
        <v>-11.47</v>
      </c>
      <c r="M251" s="6">
        <f t="shared" si="1"/>
        <v>-3.524689761</v>
      </c>
      <c r="N251" s="6">
        <v>-11.47</v>
      </c>
      <c r="O251" s="7" t="s">
        <v>23</v>
      </c>
      <c r="P251" s="7" t="s">
        <v>46</v>
      </c>
      <c r="Q251" s="7" t="s">
        <v>25</v>
      </c>
      <c r="R251" s="10">
        <v>-35865.17</v>
      </c>
      <c r="S251" s="10">
        <v>-21622.52</v>
      </c>
      <c r="T251" s="9" t="s">
        <v>29</v>
      </c>
      <c r="U251" s="9"/>
      <c r="V251" s="9"/>
      <c r="W251" s="9"/>
      <c r="X251" s="9"/>
      <c r="Y251" s="9"/>
      <c r="Z251" s="9"/>
      <c r="AA251" s="9"/>
      <c r="AB251" s="9"/>
    </row>
    <row r="252">
      <c r="A252" s="5">
        <v>41888.0</v>
      </c>
      <c r="B252" s="6">
        <v>2014.0</v>
      </c>
      <c r="C252" s="7" t="s">
        <v>78</v>
      </c>
      <c r="D252" s="7" t="s">
        <v>42</v>
      </c>
      <c r="E252" s="7" t="s">
        <v>39</v>
      </c>
      <c r="F252" s="6">
        <v>17985.0</v>
      </c>
      <c r="G252" s="6">
        <v>552703.9</v>
      </c>
      <c r="H252" s="6">
        <v>30.73</v>
      </c>
      <c r="I252" s="8">
        <v>34.26020850708924</v>
      </c>
      <c r="J252" s="6">
        <v>616169.85</v>
      </c>
      <c r="K252" s="6">
        <v>-63465.95</v>
      </c>
      <c r="L252" s="6">
        <v>-11.48</v>
      </c>
      <c r="M252" s="6">
        <f t="shared" si="1"/>
        <v>-3.5288268</v>
      </c>
      <c r="N252" s="6">
        <v>-11.48</v>
      </c>
      <c r="O252" s="7" t="s">
        <v>23</v>
      </c>
      <c r="P252" s="7" t="s">
        <v>46</v>
      </c>
      <c r="Q252" s="7" t="s">
        <v>25</v>
      </c>
      <c r="R252" s="10">
        <v>-57487.69</v>
      </c>
      <c r="S252" s="10">
        <v>-5978.26</v>
      </c>
      <c r="T252" s="9" t="s">
        <v>29</v>
      </c>
      <c r="U252" s="9"/>
      <c r="V252" s="9"/>
      <c r="W252" s="9"/>
      <c r="X252" s="9"/>
      <c r="Y252" s="9"/>
      <c r="Z252" s="9"/>
      <c r="AA252" s="9"/>
      <c r="AB252" s="9"/>
    </row>
    <row r="253">
      <c r="A253" s="5">
        <v>41889.0</v>
      </c>
      <c r="B253" s="6">
        <v>2014.0</v>
      </c>
      <c r="C253" s="7" t="s">
        <v>78</v>
      </c>
      <c r="D253" s="7" t="s">
        <v>43</v>
      </c>
      <c r="E253" s="7" t="s">
        <v>41</v>
      </c>
      <c r="F253" s="6">
        <v>7620.0</v>
      </c>
      <c r="G253" s="6">
        <v>234153.76</v>
      </c>
      <c r="H253" s="6">
        <v>30.73</v>
      </c>
      <c r="I253" s="8">
        <v>34.26356824146982</v>
      </c>
      <c r="J253" s="6">
        <v>261088.39</v>
      </c>
      <c r="K253" s="6">
        <v>-26934.62</v>
      </c>
      <c r="L253" s="6">
        <v>-11.5</v>
      </c>
      <c r="M253" s="6">
        <f t="shared" si="1"/>
        <v>-3.534727034</v>
      </c>
      <c r="N253" s="6">
        <v>-11.5</v>
      </c>
      <c r="O253" s="7" t="s">
        <v>23</v>
      </c>
      <c r="P253" s="7" t="s">
        <v>46</v>
      </c>
      <c r="Q253" s="7" t="s">
        <v>25</v>
      </c>
      <c r="R253" s="10">
        <v>-63465.95</v>
      </c>
      <c r="S253" s="10">
        <v>36531.32</v>
      </c>
      <c r="T253" s="9" t="s">
        <v>33</v>
      </c>
      <c r="U253" s="9"/>
      <c r="V253" s="9"/>
      <c r="W253" s="9"/>
      <c r="X253" s="9"/>
      <c r="Y253" s="9"/>
      <c r="Z253" s="9"/>
      <c r="AA253" s="9"/>
      <c r="AB253" s="9"/>
    </row>
    <row r="254">
      <c r="A254" s="5">
        <v>41890.0</v>
      </c>
      <c r="B254" s="6">
        <v>2014.0</v>
      </c>
      <c r="C254" s="7" t="s">
        <v>78</v>
      </c>
      <c r="D254" s="7" t="s">
        <v>44</v>
      </c>
      <c r="E254" s="7" t="s">
        <v>22</v>
      </c>
      <c r="F254" s="6">
        <v>7958.0</v>
      </c>
      <c r="G254" s="6">
        <v>244481.5</v>
      </c>
      <c r="H254" s="6">
        <v>30.72</v>
      </c>
      <c r="I254" s="8">
        <v>34.25903493340036</v>
      </c>
      <c r="J254" s="6">
        <v>272633.4</v>
      </c>
      <c r="K254" s="6">
        <v>-28151.9</v>
      </c>
      <c r="L254" s="6">
        <v>-11.51</v>
      </c>
      <c r="M254" s="6">
        <f t="shared" si="1"/>
        <v>-3.537559688</v>
      </c>
      <c r="N254" s="6">
        <v>-11.51</v>
      </c>
      <c r="O254" s="7" t="s">
        <v>23</v>
      </c>
      <c r="P254" s="7" t="s">
        <v>46</v>
      </c>
      <c r="Q254" s="7" t="s">
        <v>25</v>
      </c>
      <c r="R254" s="10">
        <v>-26934.62</v>
      </c>
      <c r="S254" s="10">
        <v>-1217.28</v>
      </c>
      <c r="T254" s="9" t="s">
        <v>29</v>
      </c>
      <c r="U254" s="9"/>
      <c r="V254" s="9"/>
      <c r="W254" s="9"/>
      <c r="X254" s="9"/>
      <c r="Y254" s="9"/>
      <c r="Z254" s="9"/>
      <c r="AA254" s="9"/>
      <c r="AB254" s="9"/>
    </row>
    <row r="255">
      <c r="A255" s="5">
        <v>41891.0</v>
      </c>
      <c r="B255" s="6">
        <v>2014.0</v>
      </c>
      <c r="C255" s="7" t="s">
        <v>78</v>
      </c>
      <c r="D255" s="7" t="s">
        <v>47</v>
      </c>
      <c r="E255" s="7" t="s">
        <v>28</v>
      </c>
      <c r="F255" s="6">
        <v>3503.0</v>
      </c>
      <c r="G255" s="6">
        <v>122749.64</v>
      </c>
      <c r="H255" s="6">
        <v>35.04</v>
      </c>
      <c r="I255" s="8">
        <v>34.276605766485865</v>
      </c>
      <c r="J255" s="6">
        <v>120070.95</v>
      </c>
      <c r="K255" s="6">
        <v>2678.69</v>
      </c>
      <c r="L255" s="6">
        <v>2.18</v>
      </c>
      <c r="M255" s="6">
        <f t="shared" si="1"/>
        <v>0.7646845561</v>
      </c>
      <c r="N255" s="6">
        <v>2.18</v>
      </c>
      <c r="O255" s="7" t="s">
        <v>45</v>
      </c>
      <c r="P255" s="7" t="s">
        <v>46</v>
      </c>
      <c r="Q255" s="7" t="s">
        <v>25</v>
      </c>
      <c r="R255" s="10">
        <v>-28151.9</v>
      </c>
      <c r="S255" s="10">
        <v>30830.59</v>
      </c>
      <c r="T255" s="9" t="s">
        <v>33</v>
      </c>
      <c r="U255" s="9"/>
      <c r="V255" s="9"/>
      <c r="W255" s="9"/>
      <c r="X255" s="9"/>
      <c r="Y255" s="9"/>
      <c r="Z255" s="9"/>
      <c r="AA255" s="9"/>
      <c r="AB255" s="9"/>
    </row>
    <row r="256">
      <c r="A256" s="5">
        <v>41892.0</v>
      </c>
      <c r="B256" s="6">
        <v>2014.0</v>
      </c>
      <c r="C256" s="7" t="s">
        <v>78</v>
      </c>
      <c r="D256" s="7" t="s">
        <v>48</v>
      </c>
      <c r="E256" s="7" t="s">
        <v>32</v>
      </c>
      <c r="F256" s="6">
        <v>2247.0</v>
      </c>
      <c r="G256" s="6">
        <v>78736.4</v>
      </c>
      <c r="H256" s="6">
        <v>35.04</v>
      </c>
      <c r="I256" s="8">
        <v>34.2997507788162</v>
      </c>
      <c r="J256" s="6">
        <v>77071.54</v>
      </c>
      <c r="K256" s="6">
        <v>1664.86</v>
      </c>
      <c r="L256" s="6">
        <v>2.11</v>
      </c>
      <c r="M256" s="6">
        <f t="shared" si="1"/>
        <v>0.7409256787</v>
      </c>
      <c r="N256" s="6">
        <v>2.11</v>
      </c>
      <c r="O256" s="7" t="s">
        <v>45</v>
      </c>
      <c r="P256" s="7" t="s">
        <v>46</v>
      </c>
      <c r="Q256" s="7" t="s">
        <v>25</v>
      </c>
      <c r="R256" s="10">
        <v>2678.69</v>
      </c>
      <c r="S256" s="10">
        <v>-1013.82</v>
      </c>
      <c r="T256" s="9" t="s">
        <v>29</v>
      </c>
      <c r="U256" s="9"/>
      <c r="V256" s="9"/>
      <c r="W256" s="9"/>
      <c r="X256" s="9"/>
      <c r="Y256" s="9"/>
      <c r="Z256" s="9"/>
      <c r="AA256" s="9"/>
      <c r="AB256" s="9"/>
    </row>
    <row r="257">
      <c r="A257" s="5">
        <v>41893.0</v>
      </c>
      <c r="B257" s="6">
        <v>2014.0</v>
      </c>
      <c r="C257" s="7" t="s">
        <v>78</v>
      </c>
      <c r="D257" s="7" t="s">
        <v>49</v>
      </c>
      <c r="E257" s="7" t="s">
        <v>35</v>
      </c>
      <c r="F257" s="6">
        <v>2023.0</v>
      </c>
      <c r="G257" s="6">
        <v>70875.11</v>
      </c>
      <c r="H257" s="6">
        <v>35.03</v>
      </c>
      <c r="I257" s="8">
        <v>34.349658922392486</v>
      </c>
      <c r="J257" s="6">
        <v>69489.36</v>
      </c>
      <c r="K257" s="6">
        <v>1385.75</v>
      </c>
      <c r="L257" s="6">
        <v>1.96</v>
      </c>
      <c r="M257" s="6">
        <f t="shared" si="1"/>
        <v>0.6849975284</v>
      </c>
      <c r="N257" s="6">
        <v>1.96</v>
      </c>
      <c r="O257" s="7" t="s">
        <v>45</v>
      </c>
      <c r="P257" s="7" t="s">
        <v>46</v>
      </c>
      <c r="Q257" s="7" t="s">
        <v>25</v>
      </c>
      <c r="R257" s="10">
        <v>1664.86</v>
      </c>
      <c r="S257" s="10">
        <v>-279.11</v>
      </c>
      <c r="T257" s="9" t="s">
        <v>29</v>
      </c>
      <c r="U257" s="9"/>
      <c r="V257" s="9"/>
      <c r="W257" s="9"/>
      <c r="X257" s="9"/>
      <c r="Y257" s="9"/>
      <c r="Z257" s="9"/>
      <c r="AA257" s="9"/>
      <c r="AB257" s="9"/>
    </row>
    <row r="258">
      <c r="A258" s="5">
        <v>41894.0</v>
      </c>
      <c r="B258" s="6">
        <v>2014.0</v>
      </c>
      <c r="C258" s="7" t="s">
        <v>78</v>
      </c>
      <c r="D258" s="7" t="s">
        <v>50</v>
      </c>
      <c r="E258" s="7" t="s">
        <v>37</v>
      </c>
      <c r="F258" s="6">
        <v>4242.0</v>
      </c>
      <c r="G258" s="6">
        <v>148634.39</v>
      </c>
      <c r="H258" s="6">
        <v>35.04</v>
      </c>
      <c r="I258" s="8">
        <v>34.40738802451674</v>
      </c>
      <c r="J258" s="6">
        <v>145956.14</v>
      </c>
      <c r="K258" s="6">
        <v>2678.25</v>
      </c>
      <c r="L258" s="6">
        <v>1.8</v>
      </c>
      <c r="M258" s="6">
        <f t="shared" si="1"/>
        <v>0.6313649222</v>
      </c>
      <c r="N258" s="6">
        <v>1.8</v>
      </c>
      <c r="O258" s="7" t="s">
        <v>45</v>
      </c>
      <c r="P258" s="7" t="s">
        <v>46</v>
      </c>
      <c r="Q258" s="7" t="s">
        <v>25</v>
      </c>
      <c r="R258" s="10">
        <v>1385.75</v>
      </c>
      <c r="S258" s="10">
        <v>1292.5</v>
      </c>
      <c r="T258" s="9" t="s">
        <v>33</v>
      </c>
      <c r="U258" s="9"/>
      <c r="V258" s="9"/>
      <c r="W258" s="9"/>
      <c r="X258" s="9"/>
      <c r="Y258" s="9"/>
      <c r="Z258" s="9"/>
      <c r="AA258" s="9"/>
      <c r="AB258" s="9"/>
    </row>
    <row r="259">
      <c r="A259" s="5">
        <v>41895.0</v>
      </c>
      <c r="B259" s="6">
        <v>2014.0</v>
      </c>
      <c r="C259" s="7" t="s">
        <v>78</v>
      </c>
      <c r="D259" s="7" t="s">
        <v>51</v>
      </c>
      <c r="E259" s="7" t="s">
        <v>39</v>
      </c>
      <c r="F259" s="6">
        <v>4901.0</v>
      </c>
      <c r="G259" s="6">
        <v>171724.83</v>
      </c>
      <c r="H259" s="6">
        <v>35.04</v>
      </c>
      <c r="I259" s="8">
        <v>34.41179351152826</v>
      </c>
      <c r="J259" s="6">
        <v>168652.2</v>
      </c>
      <c r="K259" s="6">
        <v>3072.63</v>
      </c>
      <c r="L259" s="6">
        <v>1.79</v>
      </c>
      <c r="M259" s="6">
        <f t="shared" si="1"/>
        <v>0.6269394001</v>
      </c>
      <c r="N259" s="6">
        <v>1.79</v>
      </c>
      <c r="O259" s="7" t="s">
        <v>45</v>
      </c>
      <c r="P259" s="7" t="s">
        <v>46</v>
      </c>
      <c r="Q259" s="7" t="s">
        <v>25</v>
      </c>
      <c r="R259" s="10">
        <v>2678.25</v>
      </c>
      <c r="S259" s="10">
        <v>394.37</v>
      </c>
      <c r="T259" s="9" t="s">
        <v>33</v>
      </c>
      <c r="U259" s="9"/>
      <c r="V259" s="9"/>
      <c r="W259" s="9"/>
      <c r="X259" s="9"/>
      <c r="Y259" s="9"/>
      <c r="Z259" s="9"/>
      <c r="AA259" s="9"/>
      <c r="AB259" s="9"/>
    </row>
    <row r="260">
      <c r="A260" s="5">
        <v>41896.0</v>
      </c>
      <c r="B260" s="6">
        <v>2014.0</v>
      </c>
      <c r="C260" s="7" t="s">
        <v>78</v>
      </c>
      <c r="D260" s="7" t="s">
        <v>52</v>
      </c>
      <c r="E260" s="7" t="s">
        <v>41</v>
      </c>
      <c r="F260" s="6">
        <v>2467.0</v>
      </c>
      <c r="G260" s="6">
        <v>86435.7</v>
      </c>
      <c r="H260" s="6">
        <v>35.04</v>
      </c>
      <c r="I260" s="8">
        <v>34.433875152006486</v>
      </c>
      <c r="J260" s="6">
        <v>84948.37</v>
      </c>
      <c r="K260" s="6">
        <v>1487.32</v>
      </c>
      <c r="L260" s="6">
        <v>1.72</v>
      </c>
      <c r="M260" s="6">
        <f t="shared" si="1"/>
        <v>0.6028860965</v>
      </c>
      <c r="N260" s="6">
        <v>1.72</v>
      </c>
      <c r="O260" s="7" t="s">
        <v>45</v>
      </c>
      <c r="P260" s="7" t="s">
        <v>46</v>
      </c>
      <c r="Q260" s="7" t="s">
        <v>25</v>
      </c>
      <c r="R260" s="10">
        <v>3072.63</v>
      </c>
      <c r="S260" s="10">
        <v>-1585.3</v>
      </c>
      <c r="T260" s="9" t="s">
        <v>29</v>
      </c>
      <c r="U260" s="9"/>
      <c r="V260" s="9"/>
      <c r="W260" s="9"/>
      <c r="X260" s="9"/>
      <c r="Y260" s="9"/>
      <c r="Z260" s="9"/>
      <c r="AA260" s="9"/>
      <c r="AB260" s="9"/>
    </row>
    <row r="261">
      <c r="A261" s="5">
        <v>41897.0</v>
      </c>
      <c r="B261" s="6">
        <v>2014.0</v>
      </c>
      <c r="C261" s="7" t="s">
        <v>78</v>
      </c>
      <c r="D261" s="7" t="s">
        <v>53</v>
      </c>
      <c r="E261" s="7" t="s">
        <v>22</v>
      </c>
      <c r="F261" s="6">
        <v>3432.0</v>
      </c>
      <c r="G261" s="6">
        <v>120236.18</v>
      </c>
      <c r="H261" s="6">
        <v>35.03</v>
      </c>
      <c r="I261" s="8">
        <v>34.40968531468531</v>
      </c>
      <c r="J261" s="6">
        <v>118094.04</v>
      </c>
      <c r="K261" s="6">
        <v>2142.14</v>
      </c>
      <c r="L261" s="6">
        <v>1.78</v>
      </c>
      <c r="M261" s="6">
        <f t="shared" si="1"/>
        <v>0.6241666667</v>
      </c>
      <c r="N261" s="6">
        <v>1.78</v>
      </c>
      <c r="O261" s="7" t="s">
        <v>45</v>
      </c>
      <c r="P261" s="7" t="s">
        <v>46</v>
      </c>
      <c r="Q261" s="7" t="s">
        <v>25</v>
      </c>
      <c r="R261" s="10">
        <v>1487.32</v>
      </c>
      <c r="S261" s="10">
        <v>654.82</v>
      </c>
      <c r="T261" s="9" t="s">
        <v>33</v>
      </c>
      <c r="U261" s="9"/>
      <c r="V261" s="9"/>
      <c r="W261" s="9"/>
      <c r="X261" s="9"/>
      <c r="Y261" s="9"/>
      <c r="Z261" s="9"/>
      <c r="AA261" s="9"/>
      <c r="AB261" s="9"/>
    </row>
    <row r="262">
      <c r="A262" s="5">
        <v>41898.0</v>
      </c>
      <c r="B262" s="6">
        <v>2014.0</v>
      </c>
      <c r="C262" s="7" t="s">
        <v>78</v>
      </c>
      <c r="D262" s="7" t="s">
        <v>54</v>
      </c>
      <c r="E262" s="7" t="s">
        <v>28</v>
      </c>
      <c r="F262" s="6">
        <v>2375.0</v>
      </c>
      <c r="G262" s="6">
        <v>83204.2</v>
      </c>
      <c r="H262" s="6">
        <v>35.03</v>
      </c>
      <c r="I262" s="8">
        <v>34.42249263157895</v>
      </c>
      <c r="J262" s="6">
        <v>81753.42</v>
      </c>
      <c r="K262" s="6">
        <v>1450.77</v>
      </c>
      <c r="L262" s="6">
        <v>1.74</v>
      </c>
      <c r="M262" s="6">
        <f t="shared" si="1"/>
        <v>0.6108505263</v>
      </c>
      <c r="N262" s="6">
        <v>1.74</v>
      </c>
      <c r="O262" s="7" t="s">
        <v>45</v>
      </c>
      <c r="P262" s="7" t="s">
        <v>46</v>
      </c>
      <c r="Q262" s="7" t="s">
        <v>25</v>
      </c>
      <c r="R262" s="10">
        <v>2142.14</v>
      </c>
      <c r="S262" s="10">
        <v>-691.37</v>
      </c>
      <c r="T262" s="9" t="s">
        <v>29</v>
      </c>
      <c r="U262" s="9"/>
      <c r="V262" s="9"/>
      <c r="W262" s="9"/>
      <c r="X262" s="9"/>
      <c r="Y262" s="9"/>
      <c r="Z262" s="9"/>
      <c r="AA262" s="9"/>
      <c r="AB262" s="9"/>
    </row>
    <row r="263">
      <c r="A263" s="5">
        <v>41899.0</v>
      </c>
      <c r="B263" s="6">
        <v>2014.0</v>
      </c>
      <c r="C263" s="7" t="s">
        <v>78</v>
      </c>
      <c r="D263" s="7" t="s">
        <v>55</v>
      </c>
      <c r="E263" s="7" t="s">
        <v>32</v>
      </c>
      <c r="F263" s="6">
        <v>2105.0</v>
      </c>
      <c r="G263" s="6">
        <v>73768.03</v>
      </c>
      <c r="H263" s="6">
        <v>35.04</v>
      </c>
      <c r="I263" s="8">
        <v>34.42846555819477</v>
      </c>
      <c r="J263" s="6">
        <v>72471.92</v>
      </c>
      <c r="K263" s="6">
        <v>1296.12</v>
      </c>
      <c r="L263" s="6">
        <v>1.76</v>
      </c>
      <c r="M263" s="6">
        <f t="shared" si="1"/>
        <v>0.6157339667</v>
      </c>
      <c r="N263" s="6">
        <v>1.76</v>
      </c>
      <c r="O263" s="7" t="s">
        <v>45</v>
      </c>
      <c r="P263" s="7" t="s">
        <v>46</v>
      </c>
      <c r="Q263" s="7" t="s">
        <v>25</v>
      </c>
      <c r="R263" s="10">
        <v>1450.77</v>
      </c>
      <c r="S263" s="10">
        <v>-154.66</v>
      </c>
      <c r="T263" s="9" t="s">
        <v>29</v>
      </c>
      <c r="U263" s="9"/>
      <c r="V263" s="9"/>
      <c r="W263" s="9"/>
      <c r="X263" s="9"/>
      <c r="Y263" s="9"/>
      <c r="Z263" s="9"/>
      <c r="AA263" s="9"/>
      <c r="AB263" s="9"/>
    </row>
    <row r="264">
      <c r="A264" s="5">
        <v>41900.0</v>
      </c>
      <c r="B264" s="6">
        <v>2014.0</v>
      </c>
      <c r="C264" s="7" t="s">
        <v>78</v>
      </c>
      <c r="D264" s="7" t="s">
        <v>56</v>
      </c>
      <c r="E264" s="7" t="s">
        <v>35</v>
      </c>
      <c r="F264" s="6">
        <v>1982.0</v>
      </c>
      <c r="G264" s="6">
        <v>69425.45</v>
      </c>
      <c r="H264" s="6">
        <v>35.03</v>
      </c>
      <c r="I264" s="8">
        <v>34.45024217961655</v>
      </c>
      <c r="J264" s="6">
        <v>68280.38</v>
      </c>
      <c r="K264" s="6">
        <v>1145.06</v>
      </c>
      <c r="L264" s="6">
        <v>1.65</v>
      </c>
      <c r="M264" s="6">
        <f t="shared" si="1"/>
        <v>0.5777295661</v>
      </c>
      <c r="N264" s="6">
        <v>1.65</v>
      </c>
      <c r="O264" s="7" t="s">
        <v>45</v>
      </c>
      <c r="P264" s="7" t="s">
        <v>46</v>
      </c>
      <c r="Q264" s="7" t="s">
        <v>25</v>
      </c>
      <c r="R264" s="10">
        <v>1296.12</v>
      </c>
      <c r="S264" s="10">
        <v>-151.05</v>
      </c>
      <c r="T264" s="9" t="s">
        <v>29</v>
      </c>
      <c r="U264" s="9"/>
      <c r="V264" s="9"/>
      <c r="W264" s="9"/>
      <c r="X264" s="9"/>
      <c r="Y264" s="9"/>
      <c r="Z264" s="9"/>
      <c r="AA264" s="9"/>
      <c r="AB264" s="9"/>
    </row>
    <row r="265">
      <c r="A265" s="5">
        <v>41901.0</v>
      </c>
      <c r="B265" s="6">
        <v>2014.0</v>
      </c>
      <c r="C265" s="7" t="s">
        <v>78</v>
      </c>
      <c r="D265" s="7" t="s">
        <v>57</v>
      </c>
      <c r="E265" s="7" t="s">
        <v>37</v>
      </c>
      <c r="F265" s="6">
        <v>3915.0</v>
      </c>
      <c r="G265" s="6">
        <v>137154.95</v>
      </c>
      <c r="H265" s="6">
        <v>35.03</v>
      </c>
      <c r="I265" s="8">
        <v>34.55348914431673</v>
      </c>
      <c r="J265" s="6">
        <v>135276.91</v>
      </c>
      <c r="K265" s="6">
        <v>1878.04</v>
      </c>
      <c r="L265" s="6">
        <v>1.37</v>
      </c>
      <c r="M265" s="6">
        <f t="shared" si="1"/>
        <v>0.4797037037</v>
      </c>
      <c r="N265" s="6">
        <v>1.37</v>
      </c>
      <c r="O265" s="7" t="s">
        <v>45</v>
      </c>
      <c r="P265" s="7" t="s">
        <v>46</v>
      </c>
      <c r="Q265" s="7" t="s">
        <v>25</v>
      </c>
      <c r="R265" s="10">
        <v>1145.06</v>
      </c>
      <c r="S265" s="10">
        <v>732.98</v>
      </c>
      <c r="T265" s="9" t="s">
        <v>33</v>
      </c>
      <c r="U265" s="9"/>
      <c r="V265" s="9"/>
      <c r="W265" s="9"/>
      <c r="X265" s="9"/>
      <c r="Y265" s="9"/>
      <c r="Z265" s="9"/>
      <c r="AA265" s="9"/>
      <c r="AB265" s="9"/>
    </row>
    <row r="266">
      <c r="A266" s="5">
        <v>41902.0</v>
      </c>
      <c r="B266" s="6">
        <v>2014.0</v>
      </c>
      <c r="C266" s="7" t="s">
        <v>78</v>
      </c>
      <c r="D266" s="7" t="s">
        <v>58</v>
      </c>
      <c r="E266" s="7" t="s">
        <v>39</v>
      </c>
      <c r="F266" s="6">
        <v>4383.0</v>
      </c>
      <c r="G266" s="6">
        <v>153569.06</v>
      </c>
      <c r="H266" s="6">
        <v>35.04</v>
      </c>
      <c r="I266" s="8">
        <v>34.537107004334935</v>
      </c>
      <c r="J266" s="6">
        <v>151376.14</v>
      </c>
      <c r="K266" s="6">
        <v>2192.93</v>
      </c>
      <c r="L266" s="6">
        <v>1.43</v>
      </c>
      <c r="M266" s="6">
        <f t="shared" si="1"/>
        <v>0.5003262606</v>
      </c>
      <c r="N266" s="6">
        <v>1.43</v>
      </c>
      <c r="O266" s="7" t="s">
        <v>45</v>
      </c>
      <c r="P266" s="7" t="s">
        <v>46</v>
      </c>
      <c r="Q266" s="7" t="s">
        <v>25</v>
      </c>
      <c r="R266" s="10">
        <v>1878.04</v>
      </c>
      <c r="S266" s="10">
        <v>314.88</v>
      </c>
      <c r="T266" s="9" t="s">
        <v>33</v>
      </c>
      <c r="U266" s="9"/>
      <c r="V266" s="9"/>
      <c r="W266" s="9"/>
      <c r="X266" s="9"/>
      <c r="Y266" s="9"/>
      <c r="Z266" s="9"/>
      <c r="AA266" s="9"/>
      <c r="AB266" s="9"/>
    </row>
    <row r="267">
      <c r="A267" s="5">
        <v>41903.0</v>
      </c>
      <c r="B267" s="6">
        <v>2014.0</v>
      </c>
      <c r="C267" s="7" t="s">
        <v>78</v>
      </c>
      <c r="D267" s="7" t="s">
        <v>59</v>
      </c>
      <c r="E267" s="7" t="s">
        <v>41</v>
      </c>
      <c r="F267" s="6">
        <v>2159.0</v>
      </c>
      <c r="G267" s="6">
        <v>75633.32</v>
      </c>
      <c r="H267" s="6">
        <v>35.03</v>
      </c>
      <c r="I267" s="8">
        <v>34.528332561371</v>
      </c>
      <c r="J267" s="6">
        <v>74546.67</v>
      </c>
      <c r="K267" s="6">
        <v>1086.65</v>
      </c>
      <c r="L267" s="6">
        <v>1.44</v>
      </c>
      <c r="M267" s="6">
        <f t="shared" si="1"/>
        <v>0.5033117184</v>
      </c>
      <c r="N267" s="6">
        <v>1.44</v>
      </c>
      <c r="O267" s="7" t="s">
        <v>45</v>
      </c>
      <c r="P267" s="7" t="s">
        <v>46</v>
      </c>
      <c r="Q267" s="7" t="s">
        <v>25</v>
      </c>
      <c r="R267" s="10">
        <v>2192.93</v>
      </c>
      <c r="S267" s="10">
        <v>-1106.27</v>
      </c>
      <c r="T267" s="9" t="s">
        <v>29</v>
      </c>
      <c r="U267" s="9"/>
      <c r="V267" s="9"/>
      <c r="W267" s="9"/>
      <c r="X267" s="9"/>
      <c r="Y267" s="9"/>
      <c r="Z267" s="9"/>
      <c r="AA267" s="9"/>
      <c r="AB267" s="9"/>
    </row>
    <row r="268">
      <c r="A268" s="5">
        <v>41904.0</v>
      </c>
      <c r="B268" s="6">
        <v>2014.0</v>
      </c>
      <c r="C268" s="7" t="s">
        <v>78</v>
      </c>
      <c r="D268" s="7" t="s">
        <v>60</v>
      </c>
      <c r="E268" s="7" t="s">
        <v>22</v>
      </c>
      <c r="F268" s="6">
        <v>2592.0</v>
      </c>
      <c r="G268" s="6">
        <v>90815.93</v>
      </c>
      <c r="H268" s="6">
        <v>35.04</v>
      </c>
      <c r="I268" s="8">
        <v>34.58859567901234</v>
      </c>
      <c r="J268" s="6">
        <v>89653.64</v>
      </c>
      <c r="K268" s="6">
        <v>1162.29</v>
      </c>
      <c r="L268" s="6">
        <v>1.28</v>
      </c>
      <c r="M268" s="6">
        <f t="shared" si="1"/>
        <v>0.4484143519</v>
      </c>
      <c r="N268" s="6">
        <v>1.28</v>
      </c>
      <c r="O268" s="7" t="s">
        <v>45</v>
      </c>
      <c r="P268" s="7" t="s">
        <v>46</v>
      </c>
      <c r="Q268" s="7" t="s">
        <v>25</v>
      </c>
      <c r="R268" s="10">
        <v>1086.65</v>
      </c>
      <c r="S268" s="10">
        <v>75.64</v>
      </c>
      <c r="T268" s="9" t="s">
        <v>33</v>
      </c>
      <c r="U268" s="9"/>
      <c r="V268" s="9"/>
      <c r="W268" s="9"/>
      <c r="X268" s="9"/>
      <c r="Y268" s="9"/>
      <c r="Z268" s="9"/>
      <c r="AA268" s="9"/>
      <c r="AB268" s="9"/>
    </row>
    <row r="269">
      <c r="A269" s="5">
        <v>41905.0</v>
      </c>
      <c r="B269" s="6">
        <v>2014.0</v>
      </c>
      <c r="C269" s="7" t="s">
        <v>78</v>
      </c>
      <c r="D269" s="7" t="s">
        <v>61</v>
      </c>
      <c r="E269" s="7" t="s">
        <v>28</v>
      </c>
      <c r="F269" s="6">
        <v>3143.0</v>
      </c>
      <c r="G269" s="6">
        <v>110118.16</v>
      </c>
      <c r="H269" s="6">
        <v>35.04</v>
      </c>
      <c r="I269" s="8">
        <v>34.642192173083046</v>
      </c>
      <c r="J269" s="6">
        <v>108880.41</v>
      </c>
      <c r="K269" s="6">
        <v>1237.75</v>
      </c>
      <c r="L269" s="6">
        <v>1.12</v>
      </c>
      <c r="M269" s="6">
        <f t="shared" si="1"/>
        <v>0.3938116449</v>
      </c>
      <c r="N269" s="6">
        <v>1.12</v>
      </c>
      <c r="O269" s="7" t="s">
        <v>45</v>
      </c>
      <c r="P269" s="7" t="s">
        <v>46</v>
      </c>
      <c r="Q269" s="7" t="s">
        <v>25</v>
      </c>
      <c r="R269" s="10">
        <v>1162.29</v>
      </c>
      <c r="S269" s="10">
        <v>75.46</v>
      </c>
      <c r="T269" s="9" t="s">
        <v>33</v>
      </c>
      <c r="U269" s="9"/>
      <c r="V269" s="9"/>
      <c r="W269" s="9"/>
      <c r="X269" s="9"/>
      <c r="Y269" s="9"/>
      <c r="Z269" s="9"/>
      <c r="AA269" s="9"/>
      <c r="AB269" s="9"/>
    </row>
    <row r="270">
      <c r="A270" s="5">
        <v>41906.0</v>
      </c>
      <c r="B270" s="6">
        <v>2014.0</v>
      </c>
      <c r="C270" s="7" t="s">
        <v>78</v>
      </c>
      <c r="D270" s="7" t="s">
        <v>62</v>
      </c>
      <c r="E270" s="7" t="s">
        <v>32</v>
      </c>
      <c r="F270" s="6">
        <v>6457.0</v>
      </c>
      <c r="G270" s="6">
        <v>209908.38</v>
      </c>
      <c r="H270" s="6">
        <v>32.51</v>
      </c>
      <c r="I270" s="8">
        <v>34.62197460120799</v>
      </c>
      <c r="J270" s="6">
        <v>223554.09</v>
      </c>
      <c r="K270" s="6">
        <v>-13645.7</v>
      </c>
      <c r="L270" s="6">
        <v>-6.5</v>
      </c>
      <c r="M270" s="6">
        <f t="shared" si="1"/>
        <v>-2.113318879</v>
      </c>
      <c r="N270" s="6">
        <v>-6.5</v>
      </c>
      <c r="O270" s="7" t="s">
        <v>23</v>
      </c>
      <c r="P270" s="7" t="s">
        <v>46</v>
      </c>
      <c r="Q270" s="7" t="s">
        <v>25</v>
      </c>
      <c r="R270" s="10">
        <v>1237.75</v>
      </c>
      <c r="S270" s="10">
        <v>-14883.45</v>
      </c>
      <c r="T270" s="9" t="s">
        <v>29</v>
      </c>
      <c r="U270" s="9"/>
      <c r="V270" s="9"/>
      <c r="W270" s="9"/>
      <c r="X270" s="9"/>
      <c r="Y270" s="9"/>
      <c r="Z270" s="9"/>
      <c r="AA270" s="9"/>
      <c r="AB270" s="9"/>
    </row>
    <row r="271">
      <c r="A271" s="5">
        <v>41907.0</v>
      </c>
      <c r="B271" s="6">
        <v>2014.0</v>
      </c>
      <c r="C271" s="7" t="s">
        <v>78</v>
      </c>
      <c r="D271" s="7" t="s">
        <v>63</v>
      </c>
      <c r="E271" s="7" t="s">
        <v>35</v>
      </c>
      <c r="F271" s="6">
        <v>11039.0</v>
      </c>
      <c r="G271" s="6">
        <v>358365.68</v>
      </c>
      <c r="H271" s="6">
        <v>32.46</v>
      </c>
      <c r="I271" s="8">
        <v>34.69227103904339</v>
      </c>
      <c r="J271" s="6">
        <v>382967.98</v>
      </c>
      <c r="K271" s="6">
        <v>-24602.3</v>
      </c>
      <c r="L271" s="6">
        <v>-6.87</v>
      </c>
      <c r="M271" s="6">
        <f t="shared" si="1"/>
        <v>-2.228671075</v>
      </c>
      <c r="N271" s="6">
        <v>-6.87</v>
      </c>
      <c r="O271" s="7" t="s">
        <v>23</v>
      </c>
      <c r="P271" s="7" t="s">
        <v>46</v>
      </c>
      <c r="Q271" s="7" t="s">
        <v>25</v>
      </c>
      <c r="R271" s="10">
        <v>-13645.7</v>
      </c>
      <c r="S271" s="10">
        <v>-10956.6</v>
      </c>
      <c r="T271" s="9" t="s">
        <v>29</v>
      </c>
      <c r="U271" s="9"/>
      <c r="V271" s="9"/>
      <c r="W271" s="9"/>
      <c r="X271" s="9"/>
      <c r="Y271" s="9"/>
      <c r="Z271" s="9"/>
      <c r="AA271" s="9"/>
      <c r="AB271" s="9"/>
    </row>
    <row r="272">
      <c r="A272" s="5">
        <v>41908.0</v>
      </c>
      <c r="B272" s="6">
        <v>2014.0</v>
      </c>
      <c r="C272" s="7" t="s">
        <v>78</v>
      </c>
      <c r="D272" s="7" t="s">
        <v>64</v>
      </c>
      <c r="E272" s="7" t="s">
        <v>37</v>
      </c>
      <c r="F272" s="6">
        <v>18036.0</v>
      </c>
      <c r="G272" s="6">
        <v>585464.0</v>
      </c>
      <c r="H272" s="6">
        <v>32.46</v>
      </c>
      <c r="I272" s="8">
        <v>34.70730372588157</v>
      </c>
      <c r="J272" s="6">
        <v>625980.93</v>
      </c>
      <c r="K272" s="6">
        <v>-40516.93</v>
      </c>
      <c r="L272" s="6">
        <v>-6.92</v>
      </c>
      <c r="M272" s="6">
        <f t="shared" si="1"/>
        <v>-2.24644766</v>
      </c>
      <c r="N272" s="6">
        <v>-6.92</v>
      </c>
      <c r="O272" s="7" t="s">
        <v>23</v>
      </c>
      <c r="P272" s="7" t="s">
        <v>46</v>
      </c>
      <c r="Q272" s="7" t="s">
        <v>25</v>
      </c>
      <c r="R272" s="10">
        <v>-24602.3</v>
      </c>
      <c r="S272" s="10">
        <v>-15914.63</v>
      </c>
      <c r="T272" s="9" t="s">
        <v>29</v>
      </c>
      <c r="U272" s="9"/>
      <c r="V272" s="9"/>
      <c r="W272" s="9"/>
      <c r="X272" s="9"/>
      <c r="Y272" s="9"/>
      <c r="Z272" s="9"/>
      <c r="AA272" s="9"/>
      <c r="AB272" s="9"/>
    </row>
    <row r="273">
      <c r="A273" s="5">
        <v>41909.0</v>
      </c>
      <c r="B273" s="6">
        <v>2014.0</v>
      </c>
      <c r="C273" s="7" t="s">
        <v>78</v>
      </c>
      <c r="D273" s="7" t="s">
        <v>65</v>
      </c>
      <c r="E273" s="7" t="s">
        <v>39</v>
      </c>
      <c r="F273" s="6">
        <v>19017.0</v>
      </c>
      <c r="G273" s="6">
        <v>617019.09</v>
      </c>
      <c r="H273" s="6">
        <v>32.45</v>
      </c>
      <c r="I273" s="8">
        <v>34.75893095651259</v>
      </c>
      <c r="J273" s="6">
        <v>661010.59</v>
      </c>
      <c r="K273" s="6">
        <v>-43991.5</v>
      </c>
      <c r="L273" s="6">
        <v>-7.13</v>
      </c>
      <c r="M273" s="6">
        <f t="shared" si="1"/>
        <v>-2.313272335</v>
      </c>
      <c r="N273" s="6">
        <v>-7.13</v>
      </c>
      <c r="O273" s="7" t="s">
        <v>23</v>
      </c>
      <c r="P273" s="7" t="s">
        <v>46</v>
      </c>
      <c r="Q273" s="7" t="s">
        <v>25</v>
      </c>
      <c r="R273" s="10">
        <v>-40516.93</v>
      </c>
      <c r="S273" s="10">
        <v>-3474.57</v>
      </c>
      <c r="T273" s="9" t="s">
        <v>29</v>
      </c>
      <c r="U273" s="9"/>
      <c r="V273" s="9"/>
      <c r="W273" s="9"/>
      <c r="X273" s="9"/>
      <c r="Y273" s="9"/>
      <c r="Z273" s="9"/>
      <c r="AA273" s="9"/>
      <c r="AB273" s="9"/>
    </row>
    <row r="274">
      <c r="A274" s="5">
        <v>41910.0</v>
      </c>
      <c r="B274" s="6">
        <v>2014.0</v>
      </c>
      <c r="C274" s="7" t="s">
        <v>78</v>
      </c>
      <c r="D274" s="7" t="s">
        <v>66</v>
      </c>
      <c r="E274" s="7" t="s">
        <v>41</v>
      </c>
      <c r="F274" s="6">
        <v>8747.0</v>
      </c>
      <c r="G274" s="6">
        <v>283850.6</v>
      </c>
      <c r="H274" s="6">
        <v>32.45</v>
      </c>
      <c r="I274" s="8">
        <v>34.80515033725849</v>
      </c>
      <c r="J274" s="6">
        <v>304440.65</v>
      </c>
      <c r="K274" s="6">
        <v>-20590.05</v>
      </c>
      <c r="L274" s="6">
        <v>-7.25</v>
      </c>
      <c r="M274" s="6">
        <f t="shared" si="1"/>
        <v>-2.353955642</v>
      </c>
      <c r="N274" s="6">
        <v>-7.25</v>
      </c>
      <c r="O274" s="7" t="s">
        <v>23</v>
      </c>
      <c r="P274" s="7" t="s">
        <v>46</v>
      </c>
      <c r="Q274" s="7" t="s">
        <v>25</v>
      </c>
      <c r="R274" s="10">
        <v>-43991.5</v>
      </c>
      <c r="S274" s="10">
        <v>23401.45</v>
      </c>
      <c r="T274" s="9" t="s">
        <v>33</v>
      </c>
      <c r="U274" s="9"/>
      <c r="V274" s="9"/>
      <c r="W274" s="9"/>
      <c r="X274" s="9"/>
      <c r="Y274" s="9"/>
      <c r="Z274" s="9"/>
      <c r="AA274" s="9"/>
      <c r="AB274" s="9"/>
    </row>
    <row r="275">
      <c r="A275" s="5">
        <v>41911.0</v>
      </c>
      <c r="B275" s="6">
        <v>2014.0</v>
      </c>
      <c r="C275" s="7" t="s">
        <v>78</v>
      </c>
      <c r="D275" s="7" t="s">
        <v>67</v>
      </c>
      <c r="E275" s="7" t="s">
        <v>22</v>
      </c>
      <c r="F275" s="6">
        <v>8147.0</v>
      </c>
      <c r="G275" s="6">
        <v>264317.11</v>
      </c>
      <c r="H275" s="6">
        <v>32.44</v>
      </c>
      <c r="I275" s="8">
        <v>34.84877500920584</v>
      </c>
      <c r="J275" s="6">
        <v>283912.97</v>
      </c>
      <c r="K275" s="6">
        <v>-19595.86</v>
      </c>
      <c r="L275" s="6">
        <v>-7.41</v>
      </c>
      <c r="M275" s="6">
        <f t="shared" si="1"/>
        <v>-2.405285381</v>
      </c>
      <c r="N275" s="6">
        <v>-7.41</v>
      </c>
      <c r="O275" s="7" t="s">
        <v>23</v>
      </c>
      <c r="P275" s="7" t="s">
        <v>46</v>
      </c>
      <c r="Q275" s="7" t="s">
        <v>25</v>
      </c>
      <c r="R275" s="10">
        <v>-20590.05</v>
      </c>
      <c r="S275" s="10">
        <v>994.2</v>
      </c>
      <c r="T275" s="9" t="s">
        <v>33</v>
      </c>
      <c r="U275" s="9"/>
      <c r="V275" s="9"/>
      <c r="W275" s="9"/>
      <c r="X275" s="9"/>
      <c r="Y275" s="9"/>
      <c r="Z275" s="9"/>
      <c r="AA275" s="9"/>
      <c r="AB275" s="9"/>
    </row>
    <row r="276">
      <c r="A276" s="5">
        <v>41912.0</v>
      </c>
      <c r="B276" s="6">
        <v>2014.0</v>
      </c>
      <c r="C276" s="7" t="s">
        <v>78</v>
      </c>
      <c r="D276" s="7" t="s">
        <v>21</v>
      </c>
      <c r="E276" s="7" t="s">
        <v>28</v>
      </c>
      <c r="F276" s="6">
        <v>11036.0</v>
      </c>
      <c r="G276" s="6">
        <v>358024.98</v>
      </c>
      <c r="H276" s="6">
        <v>32.44</v>
      </c>
      <c r="I276" s="8">
        <v>34.86982964842334</v>
      </c>
      <c r="J276" s="6">
        <v>384823.44</v>
      </c>
      <c r="K276" s="6">
        <v>-26798.46</v>
      </c>
      <c r="L276" s="6">
        <v>-7.49</v>
      </c>
      <c r="M276" s="6">
        <f t="shared" si="1"/>
        <v>-2.428276549</v>
      </c>
      <c r="N276" s="6">
        <v>-7.49</v>
      </c>
      <c r="O276" s="7" t="s">
        <v>23</v>
      </c>
      <c r="P276" s="7" t="s">
        <v>46</v>
      </c>
      <c r="Q276" s="7" t="s">
        <v>25</v>
      </c>
      <c r="R276" s="10">
        <v>-19595.86</v>
      </c>
      <c r="S276" s="10">
        <v>-7202.6</v>
      </c>
      <c r="T276" s="9" t="s">
        <v>29</v>
      </c>
      <c r="U276" s="9"/>
      <c r="V276" s="9"/>
      <c r="W276" s="9"/>
      <c r="X276" s="9"/>
      <c r="Y276" s="9"/>
      <c r="Z276" s="9"/>
      <c r="AA276" s="9"/>
      <c r="AB276" s="9"/>
    </row>
    <row r="277">
      <c r="A277" s="5">
        <v>41913.0</v>
      </c>
      <c r="B277" s="6">
        <v>2014.0</v>
      </c>
      <c r="C277" s="7" t="s">
        <v>79</v>
      </c>
      <c r="D277" s="7" t="s">
        <v>31</v>
      </c>
      <c r="E277" s="7" t="s">
        <v>32</v>
      </c>
      <c r="F277" s="6">
        <v>18330.0</v>
      </c>
      <c r="G277" s="6">
        <v>594438.28</v>
      </c>
      <c r="H277" s="6">
        <v>32.43</v>
      </c>
      <c r="I277" s="8">
        <v>34.877608837970534</v>
      </c>
      <c r="J277" s="6">
        <v>639306.57</v>
      </c>
      <c r="K277" s="6">
        <v>-44868.29</v>
      </c>
      <c r="L277" s="6">
        <v>-7.55</v>
      </c>
      <c r="M277" s="6">
        <f t="shared" si="1"/>
        <v>-2.447806328</v>
      </c>
      <c r="N277" s="6">
        <v>-7.55</v>
      </c>
      <c r="O277" s="7" t="s">
        <v>23</v>
      </c>
      <c r="P277" s="7" t="s">
        <v>46</v>
      </c>
      <c r="Q277" s="7" t="s">
        <v>25</v>
      </c>
      <c r="R277" s="10">
        <v>-26798.46</v>
      </c>
      <c r="S277" s="10">
        <v>-18069.83</v>
      </c>
      <c r="T277" s="9" t="s">
        <v>29</v>
      </c>
      <c r="U277" s="9"/>
      <c r="V277" s="9"/>
      <c r="W277" s="9"/>
      <c r="X277" s="9"/>
      <c r="Y277" s="9"/>
      <c r="Z277" s="9"/>
      <c r="AA277" s="9"/>
      <c r="AB277" s="9"/>
    </row>
    <row r="278">
      <c r="A278" s="5">
        <v>41914.0</v>
      </c>
      <c r="B278" s="6">
        <v>2014.0</v>
      </c>
      <c r="C278" s="7" t="s">
        <v>79</v>
      </c>
      <c r="D278" s="7" t="s">
        <v>34</v>
      </c>
      <c r="E278" s="7" t="s">
        <v>35</v>
      </c>
      <c r="F278" s="6">
        <v>14503.0</v>
      </c>
      <c r="G278" s="6">
        <v>470507.66</v>
      </c>
      <c r="H278" s="6">
        <v>32.44</v>
      </c>
      <c r="I278" s="8">
        <v>34.894299800041374</v>
      </c>
      <c r="J278" s="6">
        <v>506072.03</v>
      </c>
      <c r="K278" s="6">
        <v>-35564.37</v>
      </c>
      <c r="L278" s="6">
        <v>-7.56</v>
      </c>
      <c r="M278" s="6">
        <f t="shared" si="1"/>
        <v>-2.452207819</v>
      </c>
      <c r="N278" s="6">
        <v>-7.56</v>
      </c>
      <c r="O278" s="7" t="s">
        <v>23</v>
      </c>
      <c r="P278" s="7" t="s">
        <v>46</v>
      </c>
      <c r="Q278" s="7" t="s">
        <v>25</v>
      </c>
      <c r="R278" s="10">
        <v>-44868.29</v>
      </c>
      <c r="S278" s="10">
        <v>9303.92</v>
      </c>
      <c r="T278" s="9" t="s">
        <v>33</v>
      </c>
      <c r="U278" s="9"/>
      <c r="V278" s="9"/>
      <c r="W278" s="9"/>
      <c r="X278" s="9"/>
      <c r="Y278" s="9"/>
      <c r="Z278" s="9"/>
      <c r="AA278" s="9"/>
      <c r="AB278" s="9"/>
    </row>
    <row r="279">
      <c r="A279" s="5">
        <v>41915.0</v>
      </c>
      <c r="B279" s="6">
        <v>2014.0</v>
      </c>
      <c r="C279" s="7" t="s">
        <v>79</v>
      </c>
      <c r="D279" s="7" t="s">
        <v>36</v>
      </c>
      <c r="E279" s="7" t="s">
        <v>37</v>
      </c>
      <c r="F279" s="6">
        <v>15986.0</v>
      </c>
      <c r="G279" s="6">
        <v>518693.53</v>
      </c>
      <c r="H279" s="6">
        <v>32.45</v>
      </c>
      <c r="I279" s="8">
        <v>34.901749655948954</v>
      </c>
      <c r="J279" s="6">
        <v>557939.37</v>
      </c>
      <c r="K279" s="6">
        <v>-39245.84</v>
      </c>
      <c r="L279" s="6">
        <v>-7.57</v>
      </c>
      <c r="M279" s="6">
        <f t="shared" si="1"/>
        <v>-2.455013136</v>
      </c>
      <c r="N279" s="6">
        <v>-7.57</v>
      </c>
      <c r="O279" s="7" t="s">
        <v>23</v>
      </c>
      <c r="P279" s="7" t="s">
        <v>46</v>
      </c>
      <c r="Q279" s="7" t="s">
        <v>25</v>
      </c>
      <c r="R279" s="10">
        <v>-35564.37</v>
      </c>
      <c r="S279" s="10">
        <v>-3681.47</v>
      </c>
      <c r="T279" s="9" t="s">
        <v>29</v>
      </c>
      <c r="U279" s="9"/>
      <c r="V279" s="9"/>
      <c r="W279" s="9"/>
      <c r="X279" s="9"/>
      <c r="Y279" s="9"/>
      <c r="Z279" s="9"/>
      <c r="AA279" s="9"/>
      <c r="AB279" s="9"/>
    </row>
    <row r="280">
      <c r="A280" s="5">
        <v>41916.0</v>
      </c>
      <c r="B280" s="6">
        <v>2014.0</v>
      </c>
      <c r="C280" s="7" t="s">
        <v>79</v>
      </c>
      <c r="D280" s="7" t="s">
        <v>38</v>
      </c>
      <c r="E280" s="7" t="s">
        <v>39</v>
      </c>
      <c r="F280" s="6">
        <v>20223.0</v>
      </c>
      <c r="G280" s="6">
        <v>656245.83</v>
      </c>
      <c r="H280" s="6">
        <v>32.45</v>
      </c>
      <c r="I280" s="8">
        <v>34.905370123127135</v>
      </c>
      <c r="J280" s="6">
        <v>705891.3</v>
      </c>
      <c r="K280" s="6">
        <v>-49645.47</v>
      </c>
      <c r="L280" s="6">
        <v>-7.57</v>
      </c>
      <c r="M280" s="6">
        <f t="shared" si="1"/>
        <v>-2.45490135</v>
      </c>
      <c r="N280" s="6">
        <v>-7.57</v>
      </c>
      <c r="O280" s="7" t="s">
        <v>23</v>
      </c>
      <c r="P280" s="7" t="s">
        <v>46</v>
      </c>
      <c r="Q280" s="7" t="s">
        <v>25</v>
      </c>
      <c r="R280" s="10">
        <v>-39245.84</v>
      </c>
      <c r="S280" s="10">
        <v>-10399.63</v>
      </c>
      <c r="T280" s="9" t="s">
        <v>29</v>
      </c>
      <c r="U280" s="9"/>
      <c r="V280" s="9"/>
      <c r="W280" s="9"/>
      <c r="X280" s="9"/>
      <c r="Y280" s="9"/>
      <c r="Z280" s="9"/>
      <c r="AA280" s="9"/>
      <c r="AB280" s="9"/>
    </row>
    <row r="281">
      <c r="A281" s="5">
        <v>41917.0</v>
      </c>
      <c r="B281" s="6">
        <v>2014.0</v>
      </c>
      <c r="C281" s="7" t="s">
        <v>79</v>
      </c>
      <c r="D281" s="7" t="s">
        <v>40</v>
      </c>
      <c r="E281" s="7" t="s">
        <v>41</v>
      </c>
      <c r="F281" s="6">
        <v>8631.0</v>
      </c>
      <c r="G281" s="6">
        <v>280055.12</v>
      </c>
      <c r="H281" s="6">
        <v>32.45</v>
      </c>
      <c r="I281" s="8">
        <v>34.90669099756691</v>
      </c>
      <c r="J281" s="6">
        <v>301279.65</v>
      </c>
      <c r="K281" s="6">
        <v>-21224.54</v>
      </c>
      <c r="L281" s="6">
        <v>-7.58</v>
      </c>
      <c r="M281" s="6">
        <f t="shared" si="1"/>
        <v>-2.45910555</v>
      </c>
      <c r="N281" s="6">
        <v>-7.58</v>
      </c>
      <c r="O281" s="7" t="s">
        <v>23</v>
      </c>
      <c r="P281" s="7" t="s">
        <v>46</v>
      </c>
      <c r="Q281" s="7" t="s">
        <v>25</v>
      </c>
      <c r="R281" s="10">
        <v>-49645.47</v>
      </c>
      <c r="S281" s="10">
        <v>28420.93</v>
      </c>
      <c r="T281" s="9" t="s">
        <v>33</v>
      </c>
      <c r="U281" s="9"/>
      <c r="V281" s="9"/>
      <c r="W281" s="9"/>
      <c r="X281" s="9"/>
      <c r="Y281" s="9"/>
      <c r="Z281" s="9"/>
      <c r="AA281" s="9"/>
      <c r="AB281" s="9"/>
    </row>
    <row r="282">
      <c r="A282" s="5">
        <v>41918.0</v>
      </c>
      <c r="B282" s="6">
        <v>2014.0</v>
      </c>
      <c r="C282" s="7" t="s">
        <v>79</v>
      </c>
      <c r="D282" s="7" t="s">
        <v>42</v>
      </c>
      <c r="E282" s="7" t="s">
        <v>22</v>
      </c>
      <c r="F282" s="6">
        <v>11579.0</v>
      </c>
      <c r="G282" s="6">
        <v>375648.02</v>
      </c>
      <c r="H282" s="6">
        <v>32.44</v>
      </c>
      <c r="I282" s="8">
        <v>34.90620260816996</v>
      </c>
      <c r="J282" s="6">
        <v>404178.92</v>
      </c>
      <c r="K282" s="6">
        <v>-28530.9</v>
      </c>
      <c r="L282" s="6">
        <v>-7.6</v>
      </c>
      <c r="M282" s="6">
        <f t="shared" si="1"/>
        <v>-2.464021073</v>
      </c>
      <c r="N282" s="6">
        <v>-7.6</v>
      </c>
      <c r="O282" s="7" t="s">
        <v>23</v>
      </c>
      <c r="P282" s="7" t="s">
        <v>46</v>
      </c>
      <c r="Q282" s="7" t="s">
        <v>25</v>
      </c>
      <c r="R282" s="10">
        <v>-21224.54</v>
      </c>
      <c r="S282" s="10">
        <v>-7306.37</v>
      </c>
      <c r="T282" s="9" t="s">
        <v>29</v>
      </c>
      <c r="U282" s="9"/>
      <c r="V282" s="9"/>
      <c r="W282" s="9"/>
      <c r="X282" s="9"/>
      <c r="Y282" s="9"/>
      <c r="Z282" s="9"/>
      <c r="AA282" s="9"/>
      <c r="AB282" s="9"/>
    </row>
    <row r="283">
      <c r="A283" s="5">
        <v>41919.0</v>
      </c>
      <c r="B283" s="6">
        <v>2014.0</v>
      </c>
      <c r="C283" s="7" t="s">
        <v>79</v>
      </c>
      <c r="D283" s="7" t="s">
        <v>43</v>
      </c>
      <c r="E283" s="7" t="s">
        <v>28</v>
      </c>
      <c r="F283" s="6">
        <v>2127.0</v>
      </c>
      <c r="G283" s="6">
        <v>78111.72</v>
      </c>
      <c r="H283" s="6">
        <v>36.72</v>
      </c>
      <c r="I283" s="8">
        <v>34.90920075223319</v>
      </c>
      <c r="J283" s="6">
        <v>74251.87</v>
      </c>
      <c r="K283" s="6">
        <v>3859.84</v>
      </c>
      <c r="L283" s="6">
        <v>4.94</v>
      </c>
      <c r="M283" s="6">
        <f t="shared" si="1"/>
        <v>1.814687353</v>
      </c>
      <c r="N283" s="6">
        <v>4.94</v>
      </c>
      <c r="O283" s="7" t="s">
        <v>45</v>
      </c>
      <c r="P283" s="7" t="s">
        <v>46</v>
      </c>
      <c r="Q283" s="7" t="s">
        <v>25</v>
      </c>
      <c r="R283" s="10">
        <v>-28530.9</v>
      </c>
      <c r="S283" s="10">
        <v>32390.75</v>
      </c>
      <c r="T283" s="9" t="s">
        <v>33</v>
      </c>
      <c r="U283" s="9"/>
      <c r="V283" s="9"/>
      <c r="W283" s="9"/>
      <c r="X283" s="9"/>
      <c r="Y283" s="9"/>
      <c r="Z283" s="9"/>
      <c r="AA283" s="9"/>
      <c r="AB283" s="9"/>
    </row>
    <row r="284">
      <c r="A284" s="5">
        <v>41920.0</v>
      </c>
      <c r="B284" s="6">
        <v>2014.0</v>
      </c>
      <c r="C284" s="7" t="s">
        <v>79</v>
      </c>
      <c r="D284" s="7" t="s">
        <v>44</v>
      </c>
      <c r="E284" s="7" t="s">
        <v>32</v>
      </c>
      <c r="F284" s="6">
        <v>1923.0</v>
      </c>
      <c r="G284" s="6">
        <v>70509.13</v>
      </c>
      <c r="H284" s="6">
        <v>36.67</v>
      </c>
      <c r="I284" s="8">
        <v>34.91522620904836</v>
      </c>
      <c r="J284" s="6">
        <v>67141.98</v>
      </c>
      <c r="K284" s="6">
        <v>3367.15</v>
      </c>
      <c r="L284" s="6">
        <v>4.78</v>
      </c>
      <c r="M284" s="6">
        <f t="shared" si="1"/>
        <v>1.75098804</v>
      </c>
      <c r="N284" s="6">
        <v>4.78</v>
      </c>
      <c r="O284" s="7" t="s">
        <v>45</v>
      </c>
      <c r="P284" s="7" t="s">
        <v>46</v>
      </c>
      <c r="Q284" s="7" t="s">
        <v>25</v>
      </c>
      <c r="R284" s="10">
        <v>3859.84</v>
      </c>
      <c r="S284" s="10">
        <v>-492.69</v>
      </c>
      <c r="T284" s="9" t="s">
        <v>29</v>
      </c>
      <c r="U284" s="9"/>
      <c r="V284" s="9"/>
      <c r="W284" s="9"/>
      <c r="X284" s="9"/>
      <c r="Y284" s="9"/>
      <c r="Z284" s="9"/>
      <c r="AA284" s="9"/>
      <c r="AB284" s="9"/>
    </row>
    <row r="285">
      <c r="A285" s="5">
        <v>41921.0</v>
      </c>
      <c r="B285" s="6">
        <v>2014.0</v>
      </c>
      <c r="C285" s="7" t="s">
        <v>79</v>
      </c>
      <c r="D285" s="7" t="s">
        <v>47</v>
      </c>
      <c r="E285" s="7" t="s">
        <v>35</v>
      </c>
      <c r="F285" s="6">
        <v>2809.0</v>
      </c>
      <c r="G285" s="6">
        <v>103281.31</v>
      </c>
      <c r="H285" s="6">
        <v>36.77</v>
      </c>
      <c r="I285" s="8">
        <v>34.911334994660024</v>
      </c>
      <c r="J285" s="6">
        <v>98065.94</v>
      </c>
      <c r="K285" s="6">
        <v>5215.37</v>
      </c>
      <c r="L285" s="6">
        <v>5.05</v>
      </c>
      <c r="M285" s="6">
        <f t="shared" si="1"/>
        <v>1.856664293</v>
      </c>
      <c r="N285" s="6">
        <v>5.05</v>
      </c>
      <c r="O285" s="7" t="s">
        <v>45</v>
      </c>
      <c r="P285" s="7" t="s">
        <v>46</v>
      </c>
      <c r="Q285" s="7" t="s">
        <v>25</v>
      </c>
      <c r="R285" s="10">
        <v>3367.15</v>
      </c>
      <c r="S285" s="10">
        <v>1848.22</v>
      </c>
      <c r="T285" s="9" t="s">
        <v>33</v>
      </c>
      <c r="U285" s="9"/>
      <c r="V285" s="9"/>
      <c r="W285" s="9"/>
      <c r="X285" s="9"/>
      <c r="Y285" s="9"/>
      <c r="Z285" s="9"/>
      <c r="AA285" s="9"/>
      <c r="AB285" s="9"/>
    </row>
    <row r="286">
      <c r="A286" s="5">
        <v>41922.0</v>
      </c>
      <c r="B286" s="6">
        <v>2014.0</v>
      </c>
      <c r="C286" s="7" t="s">
        <v>79</v>
      </c>
      <c r="D286" s="7" t="s">
        <v>48</v>
      </c>
      <c r="E286" s="7" t="s">
        <v>37</v>
      </c>
      <c r="F286" s="6">
        <v>4891.0</v>
      </c>
      <c r="G286" s="6">
        <v>179841.43</v>
      </c>
      <c r="H286" s="6">
        <v>36.77</v>
      </c>
      <c r="I286" s="8">
        <v>34.912610918012675</v>
      </c>
      <c r="J286" s="6">
        <v>170757.58</v>
      </c>
      <c r="K286" s="6">
        <v>9083.85</v>
      </c>
      <c r="L286" s="6">
        <v>5.05</v>
      </c>
      <c r="M286" s="6">
        <f t="shared" si="1"/>
        <v>1.857258229</v>
      </c>
      <c r="N286" s="6">
        <v>5.05</v>
      </c>
      <c r="O286" s="7" t="s">
        <v>45</v>
      </c>
      <c r="P286" s="7" t="s">
        <v>46</v>
      </c>
      <c r="Q286" s="7" t="s">
        <v>25</v>
      </c>
      <c r="R286" s="10">
        <v>5215.37</v>
      </c>
      <c r="S286" s="10">
        <v>3868.48</v>
      </c>
      <c r="T286" s="9" t="s">
        <v>33</v>
      </c>
      <c r="U286" s="9"/>
      <c r="V286" s="9"/>
      <c r="W286" s="9"/>
      <c r="X286" s="9"/>
      <c r="Y286" s="9"/>
      <c r="Z286" s="9"/>
      <c r="AA286" s="9"/>
      <c r="AB286" s="9"/>
    </row>
    <row r="287">
      <c r="A287" s="5">
        <v>41923.0</v>
      </c>
      <c r="B287" s="6">
        <v>2014.0</v>
      </c>
      <c r="C287" s="7" t="s">
        <v>79</v>
      </c>
      <c r="D287" s="7" t="s">
        <v>49</v>
      </c>
      <c r="E287" s="7" t="s">
        <v>39</v>
      </c>
      <c r="F287" s="6">
        <v>3758.0</v>
      </c>
      <c r="G287" s="6">
        <v>138038.24</v>
      </c>
      <c r="H287" s="6">
        <v>36.73</v>
      </c>
      <c r="I287" s="8">
        <v>34.91014369345397</v>
      </c>
      <c r="J287" s="6">
        <v>131192.32</v>
      </c>
      <c r="K287" s="6">
        <v>6845.92</v>
      </c>
      <c r="L287" s="6">
        <v>4.96</v>
      </c>
      <c r="M287" s="6">
        <f t="shared" si="1"/>
        <v>1.82169239</v>
      </c>
      <c r="N287" s="6">
        <v>4.96</v>
      </c>
      <c r="O287" s="7" t="s">
        <v>45</v>
      </c>
      <c r="P287" s="7" t="s">
        <v>46</v>
      </c>
      <c r="Q287" s="7" t="s">
        <v>25</v>
      </c>
      <c r="R287" s="10">
        <v>9083.85</v>
      </c>
      <c r="S287" s="10">
        <v>-2237.93</v>
      </c>
      <c r="T287" s="9" t="s">
        <v>29</v>
      </c>
      <c r="U287" s="9"/>
      <c r="V287" s="9"/>
      <c r="W287" s="9"/>
      <c r="X287" s="9"/>
      <c r="Y287" s="9"/>
      <c r="Z287" s="9"/>
      <c r="AA287" s="9"/>
      <c r="AB287" s="9"/>
    </row>
    <row r="288">
      <c r="A288" s="5">
        <v>41924.0</v>
      </c>
      <c r="B288" s="6">
        <v>2014.0</v>
      </c>
      <c r="C288" s="7" t="s">
        <v>79</v>
      </c>
      <c r="D288" s="7" t="s">
        <v>50</v>
      </c>
      <c r="E288" s="7" t="s">
        <v>41</v>
      </c>
      <c r="F288" s="6">
        <v>1661.0</v>
      </c>
      <c r="G288" s="6">
        <v>61037.56</v>
      </c>
      <c r="H288" s="6">
        <v>36.75</v>
      </c>
      <c r="I288" s="8">
        <v>34.914111980734496</v>
      </c>
      <c r="J288" s="6">
        <v>57992.34</v>
      </c>
      <c r="K288" s="6">
        <v>3045.22</v>
      </c>
      <c r="L288" s="6">
        <v>4.99</v>
      </c>
      <c r="M288" s="6">
        <f t="shared" si="1"/>
        <v>1.833365443</v>
      </c>
      <c r="N288" s="6">
        <v>4.99</v>
      </c>
      <c r="O288" s="7" t="s">
        <v>45</v>
      </c>
      <c r="P288" s="7" t="s">
        <v>46</v>
      </c>
      <c r="Q288" s="7" t="s">
        <v>25</v>
      </c>
      <c r="R288" s="10">
        <v>6845.92</v>
      </c>
      <c r="S288" s="10">
        <v>-3800.7</v>
      </c>
      <c r="T288" s="9" t="s">
        <v>29</v>
      </c>
      <c r="U288" s="9"/>
      <c r="V288" s="9"/>
      <c r="W288" s="9"/>
      <c r="X288" s="9"/>
      <c r="Y288" s="9"/>
      <c r="Z288" s="9"/>
      <c r="AA288" s="9"/>
      <c r="AB288" s="9"/>
    </row>
    <row r="289">
      <c r="A289" s="5">
        <v>41925.0</v>
      </c>
      <c r="B289" s="6">
        <v>2014.0</v>
      </c>
      <c r="C289" s="7" t="s">
        <v>79</v>
      </c>
      <c r="D289" s="7" t="s">
        <v>51</v>
      </c>
      <c r="E289" s="7" t="s">
        <v>22</v>
      </c>
      <c r="F289" s="6">
        <v>2360.0</v>
      </c>
      <c r="G289" s="6">
        <v>86799.76</v>
      </c>
      <c r="H289" s="6">
        <v>36.78</v>
      </c>
      <c r="I289" s="8">
        <v>34.91200423728814</v>
      </c>
      <c r="J289" s="6">
        <v>82392.33</v>
      </c>
      <c r="K289" s="6">
        <v>4407.43</v>
      </c>
      <c r="L289" s="6">
        <v>5.08</v>
      </c>
      <c r="M289" s="6">
        <f t="shared" si="1"/>
        <v>1.867555085</v>
      </c>
      <c r="N289" s="6">
        <v>5.08</v>
      </c>
      <c r="O289" s="7" t="s">
        <v>45</v>
      </c>
      <c r="P289" s="7" t="s">
        <v>46</v>
      </c>
      <c r="Q289" s="7" t="s">
        <v>25</v>
      </c>
      <c r="R289" s="10">
        <v>3045.22</v>
      </c>
      <c r="S289" s="10">
        <v>1362.21</v>
      </c>
      <c r="T289" s="9" t="s">
        <v>33</v>
      </c>
      <c r="U289" s="9"/>
      <c r="V289" s="9"/>
      <c r="W289" s="9"/>
      <c r="X289" s="9"/>
      <c r="Y289" s="9"/>
      <c r="Z289" s="9"/>
      <c r="AA289" s="9"/>
      <c r="AB289" s="9"/>
    </row>
    <row r="290">
      <c r="A290" s="5">
        <v>41926.0</v>
      </c>
      <c r="B290" s="6">
        <v>2014.0</v>
      </c>
      <c r="C290" s="7" t="s">
        <v>79</v>
      </c>
      <c r="D290" s="7" t="s">
        <v>52</v>
      </c>
      <c r="E290" s="7" t="s">
        <v>28</v>
      </c>
      <c r="F290" s="6">
        <v>1894.0</v>
      </c>
      <c r="G290" s="6">
        <v>69570.5</v>
      </c>
      <c r="H290" s="6">
        <v>36.73</v>
      </c>
      <c r="I290" s="8">
        <v>35.012639915522705</v>
      </c>
      <c r="J290" s="6">
        <v>66313.94</v>
      </c>
      <c r="K290" s="6">
        <v>3256.56</v>
      </c>
      <c r="L290" s="6">
        <v>4.68</v>
      </c>
      <c r="M290" s="6">
        <f t="shared" si="1"/>
        <v>1.719408659</v>
      </c>
      <c r="N290" s="6">
        <v>4.68</v>
      </c>
      <c r="O290" s="7" t="s">
        <v>45</v>
      </c>
      <c r="P290" s="7" t="s">
        <v>46</v>
      </c>
      <c r="Q290" s="7" t="s">
        <v>25</v>
      </c>
      <c r="R290" s="10">
        <v>4407.43</v>
      </c>
      <c r="S290" s="10">
        <v>-1150.87</v>
      </c>
      <c r="T290" s="9" t="s">
        <v>29</v>
      </c>
      <c r="U290" s="9"/>
      <c r="V290" s="9"/>
      <c r="W290" s="9"/>
      <c r="X290" s="9"/>
      <c r="Y290" s="9"/>
      <c r="Z290" s="9"/>
      <c r="AA290" s="9"/>
      <c r="AB290" s="9"/>
    </row>
    <row r="291">
      <c r="A291" s="5">
        <v>41927.0</v>
      </c>
      <c r="B291" s="6">
        <v>2014.0</v>
      </c>
      <c r="C291" s="7" t="s">
        <v>79</v>
      </c>
      <c r="D291" s="7" t="s">
        <v>53</v>
      </c>
      <c r="E291" s="7" t="s">
        <v>32</v>
      </c>
      <c r="F291" s="6">
        <v>3548.0</v>
      </c>
      <c r="G291" s="6">
        <v>130476.36</v>
      </c>
      <c r="H291" s="6">
        <v>36.77</v>
      </c>
      <c r="I291" s="8">
        <v>35.0615642615558</v>
      </c>
      <c r="J291" s="6">
        <v>124398.43</v>
      </c>
      <c r="K291" s="6">
        <v>6077.92</v>
      </c>
      <c r="L291" s="6">
        <v>4.66</v>
      </c>
      <c r="M291" s="6">
        <f t="shared" si="1"/>
        <v>1.713055242</v>
      </c>
      <c r="N291" s="6">
        <v>4.66</v>
      </c>
      <c r="O291" s="7" t="s">
        <v>45</v>
      </c>
      <c r="P291" s="7" t="s">
        <v>46</v>
      </c>
      <c r="Q291" s="7" t="s">
        <v>25</v>
      </c>
      <c r="R291" s="10">
        <v>3256.56</v>
      </c>
      <c r="S291" s="10">
        <v>2821.36</v>
      </c>
      <c r="T291" s="9" t="s">
        <v>33</v>
      </c>
      <c r="U291" s="9"/>
      <c r="V291" s="9"/>
      <c r="W291" s="9"/>
      <c r="X291" s="9"/>
      <c r="Y291" s="9"/>
      <c r="Z291" s="9"/>
      <c r="AA291" s="9"/>
      <c r="AB291" s="9"/>
    </row>
    <row r="292">
      <c r="A292" s="5">
        <v>41928.0</v>
      </c>
      <c r="B292" s="6">
        <v>2014.0</v>
      </c>
      <c r="C292" s="7" t="s">
        <v>79</v>
      </c>
      <c r="D292" s="7" t="s">
        <v>54</v>
      </c>
      <c r="E292" s="7" t="s">
        <v>35</v>
      </c>
      <c r="F292" s="6">
        <v>2591.0</v>
      </c>
      <c r="G292" s="6">
        <v>95229.77</v>
      </c>
      <c r="H292" s="6">
        <v>36.75</v>
      </c>
      <c r="I292" s="8">
        <v>35.15548050945581</v>
      </c>
      <c r="J292" s="6">
        <v>91087.85</v>
      </c>
      <c r="K292" s="6">
        <v>4141.92</v>
      </c>
      <c r="L292" s="6">
        <v>4.35</v>
      </c>
      <c r="M292" s="6">
        <f t="shared" si="1"/>
        <v>1.598579699</v>
      </c>
      <c r="N292" s="6">
        <v>4.35</v>
      </c>
      <c r="O292" s="7" t="s">
        <v>45</v>
      </c>
      <c r="P292" s="7" t="s">
        <v>46</v>
      </c>
      <c r="Q292" s="7" t="s">
        <v>25</v>
      </c>
      <c r="R292" s="10">
        <v>6077.92</v>
      </c>
      <c r="S292" s="10">
        <v>-1936.0</v>
      </c>
      <c r="T292" s="9" t="s">
        <v>29</v>
      </c>
      <c r="U292" s="9"/>
      <c r="V292" s="9"/>
      <c r="W292" s="9"/>
      <c r="X292" s="9"/>
      <c r="Y292" s="9"/>
      <c r="Z292" s="9"/>
      <c r="AA292" s="9"/>
      <c r="AB292" s="9"/>
    </row>
    <row r="293">
      <c r="A293" s="5">
        <v>41929.0</v>
      </c>
      <c r="B293" s="6">
        <v>2014.0</v>
      </c>
      <c r="C293" s="7" t="s">
        <v>79</v>
      </c>
      <c r="D293" s="7" t="s">
        <v>55</v>
      </c>
      <c r="E293" s="7" t="s">
        <v>37</v>
      </c>
      <c r="F293" s="6">
        <v>3293.0</v>
      </c>
      <c r="G293" s="6">
        <v>121057.86</v>
      </c>
      <c r="H293" s="6">
        <v>36.76</v>
      </c>
      <c r="I293" s="8">
        <v>35.51466443972062</v>
      </c>
      <c r="J293" s="6">
        <v>116949.79</v>
      </c>
      <c r="K293" s="6">
        <v>4108.07</v>
      </c>
      <c r="L293" s="6">
        <v>3.39</v>
      </c>
      <c r="M293" s="6">
        <f t="shared" si="1"/>
        <v>1.247515943</v>
      </c>
      <c r="N293" s="6">
        <v>3.39</v>
      </c>
      <c r="O293" s="7" t="s">
        <v>45</v>
      </c>
      <c r="P293" s="7" t="s">
        <v>46</v>
      </c>
      <c r="Q293" s="7" t="s">
        <v>25</v>
      </c>
      <c r="R293" s="10">
        <v>4141.92</v>
      </c>
      <c r="S293" s="10">
        <v>-33.85</v>
      </c>
      <c r="T293" s="9" t="s">
        <v>29</v>
      </c>
      <c r="U293" s="9"/>
      <c r="V293" s="9"/>
      <c r="W293" s="9"/>
      <c r="X293" s="9"/>
      <c r="Y293" s="9"/>
      <c r="Z293" s="9"/>
      <c r="AA293" s="9"/>
      <c r="AB293" s="9"/>
    </row>
    <row r="294">
      <c r="A294" s="5">
        <v>41930.0</v>
      </c>
      <c r="B294" s="6">
        <v>2014.0</v>
      </c>
      <c r="C294" s="7" t="s">
        <v>79</v>
      </c>
      <c r="D294" s="7" t="s">
        <v>56</v>
      </c>
      <c r="E294" s="7" t="s">
        <v>39</v>
      </c>
      <c r="F294" s="6">
        <v>4611.0</v>
      </c>
      <c r="G294" s="6">
        <v>169498.92</v>
      </c>
      <c r="H294" s="6">
        <v>36.76</v>
      </c>
      <c r="I294" s="8">
        <v>35.67402949468662</v>
      </c>
      <c r="J294" s="6">
        <v>164492.95</v>
      </c>
      <c r="K294" s="6">
        <v>5005.97</v>
      </c>
      <c r="L294" s="6">
        <v>2.95</v>
      </c>
      <c r="M294" s="6">
        <f t="shared" si="1"/>
        <v>1.085658209</v>
      </c>
      <c r="N294" s="6">
        <v>2.95</v>
      </c>
      <c r="O294" s="7" t="s">
        <v>45</v>
      </c>
      <c r="P294" s="7" t="s">
        <v>46</v>
      </c>
      <c r="Q294" s="7" t="s">
        <v>25</v>
      </c>
      <c r="R294" s="10">
        <v>4108.07</v>
      </c>
      <c r="S294" s="10">
        <v>897.9</v>
      </c>
      <c r="T294" s="9" t="s">
        <v>33</v>
      </c>
      <c r="U294" s="9"/>
      <c r="V294" s="9"/>
      <c r="W294" s="9"/>
      <c r="X294" s="9"/>
      <c r="Y294" s="9"/>
      <c r="Z294" s="9"/>
      <c r="AA294" s="9"/>
      <c r="AB294" s="9"/>
    </row>
    <row r="295">
      <c r="A295" s="5">
        <v>41931.0</v>
      </c>
      <c r="B295" s="6">
        <v>2014.0</v>
      </c>
      <c r="C295" s="7" t="s">
        <v>79</v>
      </c>
      <c r="D295" s="7" t="s">
        <v>57</v>
      </c>
      <c r="E295" s="7" t="s">
        <v>41</v>
      </c>
      <c r="F295" s="6">
        <v>2468.0</v>
      </c>
      <c r="G295" s="6">
        <v>90692.38</v>
      </c>
      <c r="H295" s="6">
        <v>36.75</v>
      </c>
      <c r="I295" s="8">
        <v>35.620425445705024</v>
      </c>
      <c r="J295" s="6">
        <v>87911.21</v>
      </c>
      <c r="K295" s="6">
        <v>2781.16</v>
      </c>
      <c r="L295" s="6">
        <v>3.07</v>
      </c>
      <c r="M295" s="6">
        <f t="shared" si="1"/>
        <v>1.126888169</v>
      </c>
      <c r="N295" s="6">
        <v>3.07</v>
      </c>
      <c r="O295" s="7" t="s">
        <v>45</v>
      </c>
      <c r="P295" s="7" t="s">
        <v>46</v>
      </c>
      <c r="Q295" s="7" t="s">
        <v>25</v>
      </c>
      <c r="R295" s="10">
        <v>5005.97</v>
      </c>
      <c r="S295" s="10">
        <v>-2224.81</v>
      </c>
      <c r="T295" s="9" t="s">
        <v>29</v>
      </c>
      <c r="U295" s="9"/>
      <c r="V295" s="9"/>
      <c r="W295" s="9"/>
      <c r="X295" s="9"/>
      <c r="Y295" s="9"/>
      <c r="Z295" s="9"/>
      <c r="AA295" s="9"/>
      <c r="AB295" s="9"/>
    </row>
    <row r="296">
      <c r="A296" s="5">
        <v>41932.0</v>
      </c>
      <c r="B296" s="6">
        <v>2014.0</v>
      </c>
      <c r="C296" s="7" t="s">
        <v>79</v>
      </c>
      <c r="D296" s="7" t="s">
        <v>58</v>
      </c>
      <c r="E296" s="7" t="s">
        <v>22</v>
      </c>
      <c r="F296" s="6">
        <v>2773.0</v>
      </c>
      <c r="G296" s="6">
        <v>101723.92</v>
      </c>
      <c r="H296" s="6">
        <v>36.68</v>
      </c>
      <c r="I296" s="8">
        <v>35.65481788676524</v>
      </c>
      <c r="J296" s="6">
        <v>98870.81</v>
      </c>
      <c r="K296" s="6">
        <v>2853.1</v>
      </c>
      <c r="L296" s="6">
        <v>2.8</v>
      </c>
      <c r="M296" s="6">
        <f t="shared" si="1"/>
        <v>1.028885683</v>
      </c>
      <c r="N296" s="6">
        <v>2.8</v>
      </c>
      <c r="O296" s="7" t="s">
        <v>45</v>
      </c>
      <c r="P296" s="7" t="s">
        <v>46</v>
      </c>
      <c r="Q296" s="7" t="s">
        <v>25</v>
      </c>
      <c r="R296" s="10">
        <v>2781.16</v>
      </c>
      <c r="S296" s="10">
        <v>71.94</v>
      </c>
      <c r="T296" s="9" t="s">
        <v>33</v>
      </c>
      <c r="U296" s="9"/>
      <c r="V296" s="9"/>
      <c r="W296" s="9"/>
      <c r="X296" s="9"/>
      <c r="Y296" s="9"/>
      <c r="Z296" s="9"/>
      <c r="AA296" s="9"/>
      <c r="AB296" s="9"/>
    </row>
    <row r="297">
      <c r="A297" s="5">
        <v>41933.0</v>
      </c>
      <c r="B297" s="6">
        <v>2014.0</v>
      </c>
      <c r="C297" s="7" t="s">
        <v>79</v>
      </c>
      <c r="D297" s="7" t="s">
        <v>59</v>
      </c>
      <c r="E297" s="7" t="s">
        <v>28</v>
      </c>
      <c r="F297" s="6">
        <v>2815.0</v>
      </c>
      <c r="G297" s="6">
        <v>103395.69</v>
      </c>
      <c r="H297" s="6">
        <v>36.73</v>
      </c>
      <c r="I297" s="8">
        <v>35.67465719360568</v>
      </c>
      <c r="J297" s="6">
        <v>100424.16</v>
      </c>
      <c r="K297" s="6">
        <v>2971.54</v>
      </c>
      <c r="L297" s="6">
        <v>2.87</v>
      </c>
      <c r="M297" s="6">
        <f t="shared" si="1"/>
        <v>1.055609236</v>
      </c>
      <c r="N297" s="6">
        <v>2.87</v>
      </c>
      <c r="O297" s="7" t="s">
        <v>45</v>
      </c>
      <c r="P297" s="7" t="s">
        <v>46</v>
      </c>
      <c r="Q297" s="7" t="s">
        <v>25</v>
      </c>
      <c r="R297" s="10">
        <v>2853.1</v>
      </c>
      <c r="S297" s="10">
        <v>118.43</v>
      </c>
      <c r="T297" s="9" t="s">
        <v>33</v>
      </c>
      <c r="U297" s="9"/>
      <c r="V297" s="9"/>
      <c r="W297" s="9"/>
      <c r="X297" s="9"/>
      <c r="Y297" s="9"/>
      <c r="Z297" s="9"/>
      <c r="AA297" s="9"/>
      <c r="AB297" s="9"/>
    </row>
    <row r="298">
      <c r="A298" s="5">
        <v>41934.0</v>
      </c>
      <c r="B298" s="6">
        <v>2014.0</v>
      </c>
      <c r="C298" s="7" t="s">
        <v>79</v>
      </c>
      <c r="D298" s="7" t="s">
        <v>60</v>
      </c>
      <c r="E298" s="7" t="s">
        <v>32</v>
      </c>
      <c r="F298" s="6">
        <v>2701.0</v>
      </c>
      <c r="G298" s="6">
        <v>99075.6</v>
      </c>
      <c r="H298" s="6">
        <v>36.68</v>
      </c>
      <c r="I298" s="8">
        <v>35.731847463902255</v>
      </c>
      <c r="J298" s="6">
        <v>96511.72</v>
      </c>
      <c r="K298" s="6">
        <v>2563.88</v>
      </c>
      <c r="L298" s="6">
        <v>2.59</v>
      </c>
      <c r="M298" s="6">
        <f t="shared" si="1"/>
        <v>0.9492336172</v>
      </c>
      <c r="N298" s="6">
        <v>2.59</v>
      </c>
      <c r="O298" s="7" t="s">
        <v>45</v>
      </c>
      <c r="P298" s="7" t="s">
        <v>46</v>
      </c>
      <c r="Q298" s="7" t="s">
        <v>25</v>
      </c>
      <c r="R298" s="10">
        <v>2971.54</v>
      </c>
      <c r="S298" s="10">
        <v>-407.66</v>
      </c>
      <c r="T298" s="9" t="s">
        <v>29</v>
      </c>
      <c r="U298" s="9"/>
      <c r="V298" s="9"/>
      <c r="W298" s="9"/>
      <c r="X298" s="9"/>
      <c r="Y298" s="9"/>
      <c r="Z298" s="9"/>
      <c r="AA298" s="9"/>
      <c r="AB298" s="9"/>
    </row>
    <row r="299">
      <c r="A299" s="5">
        <v>41935.0</v>
      </c>
      <c r="B299" s="6">
        <v>2014.0</v>
      </c>
      <c r="C299" s="7" t="s">
        <v>79</v>
      </c>
      <c r="D299" s="7" t="s">
        <v>61</v>
      </c>
      <c r="E299" s="7" t="s">
        <v>35</v>
      </c>
      <c r="F299" s="6">
        <v>2651.0</v>
      </c>
      <c r="G299" s="6">
        <v>97476.14</v>
      </c>
      <c r="H299" s="6">
        <v>36.77</v>
      </c>
      <c r="I299" s="8">
        <v>35.74645039607695</v>
      </c>
      <c r="J299" s="6">
        <v>94763.84</v>
      </c>
      <c r="K299" s="6">
        <v>2712.3</v>
      </c>
      <c r="L299" s="6">
        <v>2.78</v>
      </c>
      <c r="M299" s="6">
        <f t="shared" si="1"/>
        <v>1.02312335</v>
      </c>
      <c r="N299" s="6">
        <v>2.78</v>
      </c>
      <c r="O299" s="7" t="s">
        <v>45</v>
      </c>
      <c r="P299" s="7" t="s">
        <v>46</v>
      </c>
      <c r="Q299" s="7" t="s">
        <v>25</v>
      </c>
      <c r="R299" s="10">
        <v>2563.88</v>
      </c>
      <c r="S299" s="10">
        <v>148.43</v>
      </c>
      <c r="T299" s="9" t="s">
        <v>33</v>
      </c>
      <c r="U299" s="9"/>
      <c r="V299" s="9"/>
      <c r="W299" s="9"/>
      <c r="X299" s="9"/>
      <c r="Y299" s="9"/>
      <c r="Z299" s="9"/>
      <c r="AA299" s="9"/>
      <c r="AB299" s="9"/>
    </row>
    <row r="300">
      <c r="A300" s="5">
        <v>41936.0</v>
      </c>
      <c r="B300" s="6">
        <v>2014.0</v>
      </c>
      <c r="C300" s="7" t="s">
        <v>79</v>
      </c>
      <c r="D300" s="7" t="s">
        <v>62</v>
      </c>
      <c r="E300" s="7" t="s">
        <v>37</v>
      </c>
      <c r="F300" s="6">
        <v>6781.0</v>
      </c>
      <c r="G300" s="6">
        <v>248974.65</v>
      </c>
      <c r="H300" s="6">
        <v>36.72</v>
      </c>
      <c r="I300" s="8">
        <v>35.68222091137001</v>
      </c>
      <c r="J300" s="6">
        <v>241961.14</v>
      </c>
      <c r="K300" s="6">
        <v>7013.51</v>
      </c>
      <c r="L300" s="6">
        <v>2.82</v>
      </c>
      <c r="M300" s="6">
        <f t="shared" si="1"/>
        <v>1.034288453</v>
      </c>
      <c r="N300" s="6">
        <v>2.82</v>
      </c>
      <c r="O300" s="7" t="s">
        <v>45</v>
      </c>
      <c r="P300" s="7" t="s">
        <v>46</v>
      </c>
      <c r="Q300" s="7" t="s">
        <v>25</v>
      </c>
      <c r="R300" s="10">
        <v>2712.3</v>
      </c>
      <c r="S300" s="10">
        <v>4301.21</v>
      </c>
      <c r="T300" s="9" t="s">
        <v>33</v>
      </c>
      <c r="U300" s="9"/>
      <c r="V300" s="9"/>
      <c r="W300" s="9"/>
      <c r="X300" s="9"/>
      <c r="Y300" s="9"/>
      <c r="Z300" s="9"/>
      <c r="AA300" s="9"/>
      <c r="AB300" s="9"/>
    </row>
    <row r="301">
      <c r="A301" s="5">
        <v>41937.0</v>
      </c>
      <c r="B301" s="6">
        <v>2014.0</v>
      </c>
      <c r="C301" s="7" t="s">
        <v>79</v>
      </c>
      <c r="D301" s="7" t="s">
        <v>63</v>
      </c>
      <c r="E301" s="7" t="s">
        <v>39</v>
      </c>
      <c r="F301" s="6">
        <v>8249.0</v>
      </c>
      <c r="G301" s="6">
        <v>302721.68</v>
      </c>
      <c r="H301" s="6">
        <v>36.7</v>
      </c>
      <c r="I301" s="8">
        <v>35.65640320038792</v>
      </c>
      <c r="J301" s="6">
        <v>294129.67</v>
      </c>
      <c r="K301" s="6">
        <v>8592.01</v>
      </c>
      <c r="L301" s="6">
        <v>2.84</v>
      </c>
      <c r="M301" s="6">
        <f t="shared" si="1"/>
        <v>1.04158201</v>
      </c>
      <c r="N301" s="6">
        <v>2.84</v>
      </c>
      <c r="O301" s="7" t="s">
        <v>45</v>
      </c>
      <c r="P301" s="7" t="s">
        <v>46</v>
      </c>
      <c r="Q301" s="7" t="s">
        <v>25</v>
      </c>
      <c r="R301" s="10">
        <v>7013.51</v>
      </c>
      <c r="S301" s="10">
        <v>1578.5</v>
      </c>
      <c r="T301" s="9" t="s">
        <v>33</v>
      </c>
      <c r="U301" s="9"/>
      <c r="V301" s="9"/>
      <c r="W301" s="9"/>
      <c r="X301" s="9"/>
      <c r="Y301" s="9"/>
      <c r="Z301" s="9"/>
      <c r="AA301" s="9"/>
      <c r="AB301" s="9"/>
    </row>
    <row r="302">
      <c r="A302" s="5">
        <v>41938.0</v>
      </c>
      <c r="B302" s="6">
        <v>2014.0</v>
      </c>
      <c r="C302" s="7" t="s">
        <v>79</v>
      </c>
      <c r="D302" s="7" t="s">
        <v>64</v>
      </c>
      <c r="E302" s="7" t="s">
        <v>41</v>
      </c>
      <c r="F302" s="6">
        <v>3502.0</v>
      </c>
      <c r="G302" s="6">
        <v>128520.73</v>
      </c>
      <c r="H302" s="6">
        <v>36.7</v>
      </c>
      <c r="I302" s="8">
        <v>35.619426042261566</v>
      </c>
      <c r="J302" s="6">
        <v>124739.23</v>
      </c>
      <c r="K302" s="6">
        <v>3781.49</v>
      </c>
      <c r="L302" s="6">
        <v>2.94</v>
      </c>
      <c r="M302" s="6">
        <f t="shared" si="1"/>
        <v>1.079808681</v>
      </c>
      <c r="N302" s="6">
        <v>2.94</v>
      </c>
      <c r="O302" s="7" t="s">
        <v>45</v>
      </c>
      <c r="P302" s="7" t="s">
        <v>46</v>
      </c>
      <c r="Q302" s="7" t="s">
        <v>25</v>
      </c>
      <c r="R302" s="10">
        <v>8592.01</v>
      </c>
      <c r="S302" s="10">
        <v>-4810.52</v>
      </c>
      <c r="T302" s="9" t="s">
        <v>29</v>
      </c>
      <c r="U302" s="9"/>
      <c r="V302" s="9"/>
      <c r="W302" s="9"/>
      <c r="X302" s="9"/>
      <c r="Y302" s="9"/>
      <c r="Z302" s="9"/>
      <c r="AA302" s="9"/>
      <c r="AB302" s="9"/>
    </row>
    <row r="303">
      <c r="A303" s="5">
        <v>41939.0</v>
      </c>
      <c r="B303" s="6">
        <v>2014.0</v>
      </c>
      <c r="C303" s="7" t="s">
        <v>79</v>
      </c>
      <c r="D303" s="7" t="s">
        <v>65</v>
      </c>
      <c r="E303" s="7" t="s">
        <v>22</v>
      </c>
      <c r="F303" s="6">
        <v>3949.0</v>
      </c>
      <c r="G303" s="6">
        <v>145185.27</v>
      </c>
      <c r="H303" s="6">
        <v>36.77</v>
      </c>
      <c r="I303" s="8">
        <v>35.61710306406685</v>
      </c>
      <c r="J303" s="6">
        <v>140651.94</v>
      </c>
      <c r="K303" s="6">
        <v>4533.33</v>
      </c>
      <c r="L303" s="6">
        <v>3.12</v>
      </c>
      <c r="M303" s="6">
        <f t="shared" si="1"/>
        <v>1.147969106</v>
      </c>
      <c r="N303" s="6">
        <v>3.12</v>
      </c>
      <c r="O303" s="7" t="s">
        <v>45</v>
      </c>
      <c r="P303" s="7" t="s">
        <v>46</v>
      </c>
      <c r="Q303" s="7" t="s">
        <v>25</v>
      </c>
      <c r="R303" s="10">
        <v>3781.49</v>
      </c>
      <c r="S303" s="10">
        <v>751.84</v>
      </c>
      <c r="T303" s="9" t="s">
        <v>33</v>
      </c>
      <c r="U303" s="9"/>
      <c r="V303" s="9"/>
      <c r="W303" s="9"/>
      <c r="X303" s="9"/>
      <c r="Y303" s="9"/>
      <c r="Z303" s="9"/>
      <c r="AA303" s="9"/>
      <c r="AB303" s="9"/>
    </row>
    <row r="304">
      <c r="A304" s="5">
        <v>41940.0</v>
      </c>
      <c r="B304" s="6">
        <v>2014.0</v>
      </c>
      <c r="C304" s="7" t="s">
        <v>79</v>
      </c>
      <c r="D304" s="7" t="s">
        <v>66</v>
      </c>
      <c r="E304" s="7" t="s">
        <v>28</v>
      </c>
      <c r="F304" s="6">
        <v>2435.0</v>
      </c>
      <c r="G304" s="6">
        <v>89527.56</v>
      </c>
      <c r="H304" s="6">
        <v>36.77</v>
      </c>
      <c r="I304" s="8">
        <v>35.7564887063655</v>
      </c>
      <c r="J304" s="6">
        <v>87067.05</v>
      </c>
      <c r="K304" s="6">
        <v>2460.51</v>
      </c>
      <c r="L304" s="6">
        <v>2.75</v>
      </c>
      <c r="M304" s="6">
        <f t="shared" si="1"/>
        <v>1.010476386</v>
      </c>
      <c r="N304" s="6">
        <v>2.75</v>
      </c>
      <c r="O304" s="7" t="s">
        <v>45</v>
      </c>
      <c r="P304" s="7" t="s">
        <v>46</v>
      </c>
      <c r="Q304" s="7" t="s">
        <v>25</v>
      </c>
      <c r="R304" s="10">
        <v>4533.33</v>
      </c>
      <c r="S304" s="10">
        <v>-2072.83</v>
      </c>
      <c r="T304" s="9" t="s">
        <v>29</v>
      </c>
      <c r="U304" s="9"/>
      <c r="V304" s="9"/>
      <c r="W304" s="9"/>
      <c r="X304" s="9"/>
      <c r="Y304" s="9"/>
      <c r="Z304" s="9"/>
      <c r="AA304" s="9"/>
      <c r="AB304" s="9"/>
    </row>
    <row r="305">
      <c r="A305" s="5">
        <v>41941.0</v>
      </c>
      <c r="B305" s="6">
        <v>2014.0</v>
      </c>
      <c r="C305" s="7" t="s">
        <v>79</v>
      </c>
      <c r="D305" s="7" t="s">
        <v>67</v>
      </c>
      <c r="E305" s="7" t="s">
        <v>32</v>
      </c>
      <c r="F305" s="6">
        <v>2232.0</v>
      </c>
      <c r="G305" s="6">
        <v>81991.88</v>
      </c>
      <c r="H305" s="6">
        <v>36.73</v>
      </c>
      <c r="I305" s="8">
        <v>35.89271953405018</v>
      </c>
      <c r="J305" s="6">
        <v>80112.55</v>
      </c>
      <c r="K305" s="6">
        <v>1879.33</v>
      </c>
      <c r="L305" s="6">
        <v>2.29</v>
      </c>
      <c r="M305" s="6">
        <f t="shared" si="1"/>
        <v>0.8419937276</v>
      </c>
      <c r="N305" s="6">
        <v>2.29</v>
      </c>
      <c r="O305" s="7" t="s">
        <v>45</v>
      </c>
      <c r="P305" s="7" t="s">
        <v>46</v>
      </c>
      <c r="Q305" s="7" t="s">
        <v>25</v>
      </c>
      <c r="R305" s="10">
        <v>2460.51</v>
      </c>
      <c r="S305" s="10">
        <v>-581.17</v>
      </c>
      <c r="T305" s="9" t="s">
        <v>29</v>
      </c>
      <c r="U305" s="9"/>
      <c r="V305" s="9"/>
      <c r="W305" s="9"/>
      <c r="X305" s="9"/>
      <c r="Y305" s="9"/>
      <c r="Z305" s="9"/>
      <c r="AA305" s="9"/>
      <c r="AB305" s="9"/>
    </row>
    <row r="306">
      <c r="A306" s="5">
        <v>41942.0</v>
      </c>
      <c r="B306" s="6">
        <v>2014.0</v>
      </c>
      <c r="C306" s="7" t="s">
        <v>79</v>
      </c>
      <c r="D306" s="7" t="s">
        <v>21</v>
      </c>
      <c r="E306" s="7" t="s">
        <v>35</v>
      </c>
      <c r="F306" s="6">
        <v>1898.0</v>
      </c>
      <c r="G306" s="6">
        <v>69704.49</v>
      </c>
      <c r="H306" s="6">
        <v>36.73</v>
      </c>
      <c r="I306" s="8">
        <v>35.98161222339305</v>
      </c>
      <c r="J306" s="6">
        <v>68293.1</v>
      </c>
      <c r="K306" s="6">
        <v>1411.39</v>
      </c>
      <c r="L306" s="6">
        <v>2.02</v>
      </c>
      <c r="M306" s="6">
        <f t="shared" si="1"/>
        <v>0.7436195996</v>
      </c>
      <c r="N306" s="6">
        <v>2.02</v>
      </c>
      <c r="O306" s="7" t="s">
        <v>45</v>
      </c>
      <c r="P306" s="7" t="s">
        <v>46</v>
      </c>
      <c r="Q306" s="7" t="s">
        <v>25</v>
      </c>
      <c r="R306" s="10">
        <v>1879.33</v>
      </c>
      <c r="S306" s="10">
        <v>-467.94</v>
      </c>
      <c r="T306" s="9" t="s">
        <v>29</v>
      </c>
      <c r="U306" s="9"/>
      <c r="V306" s="9"/>
      <c r="W306" s="9"/>
      <c r="X306" s="9"/>
      <c r="Y306" s="9"/>
      <c r="Z306" s="9"/>
      <c r="AA306" s="9"/>
      <c r="AB306" s="9"/>
    </row>
    <row r="307">
      <c r="A307" s="5">
        <v>41943.0</v>
      </c>
      <c r="B307" s="6">
        <v>2014.0</v>
      </c>
      <c r="C307" s="7" t="s">
        <v>79</v>
      </c>
      <c r="D307" s="7" t="s">
        <v>27</v>
      </c>
      <c r="E307" s="7" t="s">
        <v>37</v>
      </c>
      <c r="F307" s="6">
        <v>4537.0</v>
      </c>
      <c r="G307" s="6">
        <v>166652.39</v>
      </c>
      <c r="H307" s="6">
        <v>36.73</v>
      </c>
      <c r="I307" s="8">
        <v>35.99729336566013</v>
      </c>
      <c r="J307" s="6">
        <v>163319.72</v>
      </c>
      <c r="K307" s="6">
        <v>3332.68</v>
      </c>
      <c r="L307" s="6">
        <v>2.0</v>
      </c>
      <c r="M307" s="6">
        <f t="shared" si="1"/>
        <v>0.7345558739</v>
      </c>
      <c r="N307" s="6">
        <v>2.0</v>
      </c>
      <c r="O307" s="7" t="s">
        <v>45</v>
      </c>
      <c r="P307" s="7" t="s">
        <v>46</v>
      </c>
      <c r="Q307" s="7" t="s">
        <v>25</v>
      </c>
      <c r="R307" s="10">
        <v>1411.39</v>
      </c>
      <c r="S307" s="10">
        <v>1921.28</v>
      </c>
      <c r="T307" s="9" t="s">
        <v>33</v>
      </c>
      <c r="U307" s="9"/>
      <c r="V307" s="9"/>
      <c r="W307" s="9"/>
      <c r="X307" s="9"/>
      <c r="Y307" s="9"/>
      <c r="Z307" s="9"/>
      <c r="AA307" s="9"/>
      <c r="AB307" s="9"/>
    </row>
    <row r="308">
      <c r="A308" s="5">
        <v>41944.0</v>
      </c>
      <c r="B308" s="6">
        <v>2014.0</v>
      </c>
      <c r="C308" s="7" t="s">
        <v>80</v>
      </c>
      <c r="D308" s="7" t="s">
        <v>31</v>
      </c>
      <c r="E308" s="7" t="s">
        <v>39</v>
      </c>
      <c r="F308" s="6">
        <v>6730.0</v>
      </c>
      <c r="G308" s="6">
        <v>247453.1</v>
      </c>
      <c r="H308" s="6">
        <v>36.77</v>
      </c>
      <c r="I308" s="8">
        <v>36.05331352154532</v>
      </c>
      <c r="J308" s="6">
        <v>242638.8</v>
      </c>
      <c r="K308" s="6">
        <v>4814.3</v>
      </c>
      <c r="L308" s="6">
        <v>1.95</v>
      </c>
      <c r="M308" s="6">
        <f t="shared" si="1"/>
        <v>0.7153491828</v>
      </c>
      <c r="N308" s="6">
        <v>1.95</v>
      </c>
      <c r="O308" s="7" t="s">
        <v>45</v>
      </c>
      <c r="P308" s="7" t="s">
        <v>46</v>
      </c>
      <c r="Q308" s="7" t="s">
        <v>25</v>
      </c>
      <c r="R308" s="10">
        <v>3332.68</v>
      </c>
      <c r="S308" s="10">
        <v>1481.62</v>
      </c>
      <c r="T308" s="9" t="s">
        <v>33</v>
      </c>
      <c r="U308" s="9"/>
      <c r="V308" s="9"/>
      <c r="W308" s="9"/>
      <c r="X308" s="9"/>
      <c r="Y308" s="9"/>
      <c r="Z308" s="9"/>
      <c r="AA308" s="9"/>
      <c r="AB308" s="9"/>
    </row>
    <row r="309">
      <c r="A309" s="5">
        <v>41945.0</v>
      </c>
      <c r="B309" s="6">
        <v>2014.0</v>
      </c>
      <c r="C309" s="7" t="s">
        <v>80</v>
      </c>
      <c r="D309" s="7" t="s">
        <v>34</v>
      </c>
      <c r="E309" s="7" t="s">
        <v>41</v>
      </c>
      <c r="F309" s="6">
        <v>4038.0</v>
      </c>
      <c r="G309" s="6">
        <v>148476.18</v>
      </c>
      <c r="H309" s="6">
        <v>36.77</v>
      </c>
      <c r="I309" s="8">
        <v>36.06893016344725</v>
      </c>
      <c r="J309" s="6">
        <v>145646.34</v>
      </c>
      <c r="K309" s="6">
        <v>2829.84</v>
      </c>
      <c r="L309" s="6">
        <v>1.91</v>
      </c>
      <c r="M309" s="6">
        <f t="shared" si="1"/>
        <v>0.7008023774</v>
      </c>
      <c r="N309" s="6">
        <v>1.91</v>
      </c>
      <c r="O309" s="7" t="s">
        <v>45</v>
      </c>
      <c r="P309" s="7" t="s">
        <v>46</v>
      </c>
      <c r="Q309" s="7" t="s">
        <v>25</v>
      </c>
      <c r="R309" s="10">
        <v>4814.3</v>
      </c>
      <c r="S309" s="10">
        <v>-1984.46</v>
      </c>
      <c r="T309" s="9" t="s">
        <v>29</v>
      </c>
      <c r="U309" s="9"/>
      <c r="V309" s="9"/>
      <c r="W309" s="9"/>
      <c r="X309" s="9"/>
      <c r="Y309" s="9"/>
      <c r="Z309" s="9"/>
      <c r="AA309" s="9"/>
      <c r="AB309" s="9"/>
    </row>
    <row r="310">
      <c r="A310" s="5">
        <v>41946.0</v>
      </c>
      <c r="B310" s="6">
        <v>2014.0</v>
      </c>
      <c r="C310" s="7" t="s">
        <v>80</v>
      </c>
      <c r="D310" s="7" t="s">
        <v>36</v>
      </c>
      <c r="E310" s="7" t="s">
        <v>22</v>
      </c>
      <c r="F310" s="6">
        <v>5581.0</v>
      </c>
      <c r="G310" s="6">
        <v>205368.92</v>
      </c>
      <c r="H310" s="6">
        <v>36.8</v>
      </c>
      <c r="I310" s="8">
        <v>36.06544346891238</v>
      </c>
      <c r="J310" s="6">
        <v>201281.24</v>
      </c>
      <c r="K310" s="6">
        <v>4087.68</v>
      </c>
      <c r="L310" s="6">
        <v>1.99</v>
      </c>
      <c r="M310" s="6">
        <f t="shared" si="1"/>
        <v>0.7324278803</v>
      </c>
      <c r="N310" s="6">
        <v>1.99</v>
      </c>
      <c r="O310" s="7" t="s">
        <v>45</v>
      </c>
      <c r="P310" s="7" t="s">
        <v>46</v>
      </c>
      <c r="Q310" s="7" t="s">
        <v>25</v>
      </c>
      <c r="R310" s="10">
        <v>2829.84</v>
      </c>
      <c r="S310" s="10">
        <v>1257.84</v>
      </c>
      <c r="T310" s="9" t="s">
        <v>33</v>
      </c>
      <c r="U310" s="9"/>
      <c r="V310" s="9"/>
      <c r="W310" s="9"/>
      <c r="X310" s="9"/>
      <c r="Y310" s="9"/>
      <c r="Z310" s="9"/>
      <c r="AA310" s="9"/>
      <c r="AB310" s="9"/>
    </row>
    <row r="311">
      <c r="A311" s="5">
        <v>41947.0</v>
      </c>
      <c r="B311" s="6">
        <v>2014.0</v>
      </c>
      <c r="C311" s="7" t="s">
        <v>80</v>
      </c>
      <c r="D311" s="7" t="s">
        <v>38</v>
      </c>
      <c r="E311" s="7" t="s">
        <v>28</v>
      </c>
      <c r="F311" s="6">
        <v>2519.0</v>
      </c>
      <c r="G311" s="6">
        <v>99244.68</v>
      </c>
      <c r="H311" s="6">
        <v>39.4</v>
      </c>
      <c r="I311" s="8">
        <v>36.105375148868596</v>
      </c>
      <c r="J311" s="6">
        <v>90949.44</v>
      </c>
      <c r="K311" s="6">
        <v>8295.24</v>
      </c>
      <c r="L311" s="6">
        <v>8.36</v>
      </c>
      <c r="M311" s="6">
        <f t="shared" si="1"/>
        <v>3.293068678</v>
      </c>
      <c r="N311" s="6">
        <v>8.36</v>
      </c>
      <c r="O311" s="7" t="s">
        <v>45</v>
      </c>
      <c r="P311" s="7" t="s">
        <v>46</v>
      </c>
      <c r="Q311" s="7" t="s">
        <v>25</v>
      </c>
      <c r="R311" s="10">
        <v>4087.68</v>
      </c>
      <c r="S311" s="10">
        <v>4207.56</v>
      </c>
      <c r="T311" s="9" t="s">
        <v>33</v>
      </c>
      <c r="U311" s="9"/>
      <c r="V311" s="9"/>
      <c r="W311" s="9"/>
      <c r="X311" s="9"/>
      <c r="Y311" s="9"/>
      <c r="Z311" s="9"/>
      <c r="AA311" s="9"/>
      <c r="AB311" s="9"/>
    </row>
    <row r="312">
      <c r="A312" s="5">
        <v>41948.0</v>
      </c>
      <c r="B312" s="6">
        <v>2014.0</v>
      </c>
      <c r="C312" s="7" t="s">
        <v>80</v>
      </c>
      <c r="D312" s="7" t="s">
        <v>40</v>
      </c>
      <c r="E312" s="7" t="s">
        <v>32</v>
      </c>
      <c r="F312" s="6">
        <v>1847.0</v>
      </c>
      <c r="G312" s="6">
        <v>72756.86</v>
      </c>
      <c r="H312" s="6">
        <v>39.39</v>
      </c>
      <c r="I312" s="8">
        <v>36.74757444504602</v>
      </c>
      <c r="J312" s="6">
        <v>67872.77</v>
      </c>
      <c r="K312" s="6">
        <v>4884.09</v>
      </c>
      <c r="L312" s="6">
        <v>6.71</v>
      </c>
      <c r="M312" s="6">
        <f t="shared" si="1"/>
        <v>2.644336762</v>
      </c>
      <c r="N312" s="6">
        <v>6.71</v>
      </c>
      <c r="O312" s="7" t="s">
        <v>45</v>
      </c>
      <c r="P312" s="7" t="s">
        <v>46</v>
      </c>
      <c r="Q312" s="7" t="s">
        <v>25</v>
      </c>
      <c r="R312" s="10">
        <v>8295.24</v>
      </c>
      <c r="S312" s="10">
        <v>-3411.15</v>
      </c>
      <c r="T312" s="9" t="s">
        <v>29</v>
      </c>
      <c r="U312" s="9"/>
      <c r="V312" s="9"/>
      <c r="W312" s="9"/>
      <c r="X312" s="9"/>
      <c r="Y312" s="9"/>
      <c r="Z312" s="9"/>
      <c r="AA312" s="9"/>
      <c r="AB312" s="9"/>
    </row>
    <row r="313">
      <c r="A313" s="5">
        <v>41949.0</v>
      </c>
      <c r="B313" s="6">
        <v>2014.0</v>
      </c>
      <c r="C313" s="7" t="s">
        <v>80</v>
      </c>
      <c r="D313" s="7" t="s">
        <v>42</v>
      </c>
      <c r="E313" s="7" t="s">
        <v>35</v>
      </c>
      <c r="F313" s="6">
        <v>2309.0</v>
      </c>
      <c r="G313" s="6">
        <v>86867.46</v>
      </c>
      <c r="H313" s="6">
        <v>37.62</v>
      </c>
      <c r="I313" s="8">
        <v>36.58990472065829</v>
      </c>
      <c r="J313" s="6">
        <v>84486.09</v>
      </c>
      <c r="K313" s="6">
        <v>2381.37</v>
      </c>
      <c r="L313" s="6">
        <v>2.74</v>
      </c>
      <c r="M313" s="6">
        <f t="shared" si="1"/>
        <v>1.031342573</v>
      </c>
      <c r="N313" s="6">
        <v>2.74</v>
      </c>
      <c r="O313" s="7" t="s">
        <v>45</v>
      </c>
      <c r="P313" s="7" t="s">
        <v>46</v>
      </c>
      <c r="Q313" s="7" t="s">
        <v>25</v>
      </c>
      <c r="R313" s="10">
        <v>4884.09</v>
      </c>
      <c r="S313" s="10">
        <v>-2502.72</v>
      </c>
      <c r="T313" s="9" t="s">
        <v>29</v>
      </c>
      <c r="U313" s="9"/>
      <c r="V313" s="9"/>
      <c r="W313" s="9"/>
      <c r="X313" s="9"/>
      <c r="Y313" s="9"/>
      <c r="Z313" s="9"/>
      <c r="AA313" s="9"/>
      <c r="AB313" s="9"/>
    </row>
    <row r="314">
      <c r="A314" s="5">
        <v>41950.0</v>
      </c>
      <c r="B314" s="6">
        <v>2014.0</v>
      </c>
      <c r="C314" s="7" t="s">
        <v>80</v>
      </c>
      <c r="D314" s="7" t="s">
        <v>43</v>
      </c>
      <c r="E314" s="7" t="s">
        <v>37</v>
      </c>
      <c r="F314" s="6">
        <v>3722.0</v>
      </c>
      <c r="G314" s="6">
        <v>140167.8</v>
      </c>
      <c r="H314" s="6">
        <v>37.66</v>
      </c>
      <c r="I314" s="8">
        <v>36.6843632455669</v>
      </c>
      <c r="J314" s="6">
        <v>136539.2</v>
      </c>
      <c r="K314" s="6">
        <v>3628.6</v>
      </c>
      <c r="L314" s="6">
        <v>2.59</v>
      </c>
      <c r="M314" s="6">
        <f t="shared" si="1"/>
        <v>0.9749059645</v>
      </c>
      <c r="N314" s="6">
        <v>2.59</v>
      </c>
      <c r="O314" s="7" t="s">
        <v>45</v>
      </c>
      <c r="P314" s="7" t="s">
        <v>46</v>
      </c>
      <c r="Q314" s="7" t="s">
        <v>25</v>
      </c>
      <c r="R314" s="10">
        <v>2381.37</v>
      </c>
      <c r="S314" s="10">
        <v>1247.23</v>
      </c>
      <c r="T314" s="9" t="s">
        <v>33</v>
      </c>
      <c r="U314" s="9"/>
      <c r="V314" s="9"/>
      <c r="W314" s="9"/>
      <c r="X314" s="9"/>
      <c r="Y314" s="9"/>
      <c r="Z314" s="9"/>
      <c r="AA314" s="9"/>
      <c r="AB314" s="9"/>
    </row>
    <row r="315">
      <c r="A315" s="5">
        <v>41951.0</v>
      </c>
      <c r="B315" s="6">
        <v>2014.0</v>
      </c>
      <c r="C315" s="7" t="s">
        <v>80</v>
      </c>
      <c r="D315" s="7" t="s">
        <v>44</v>
      </c>
      <c r="E315" s="7" t="s">
        <v>39</v>
      </c>
      <c r="F315" s="6">
        <v>4268.0</v>
      </c>
      <c r="G315" s="6">
        <v>160727.3</v>
      </c>
      <c r="H315" s="6">
        <v>37.66</v>
      </c>
      <c r="I315" s="8">
        <v>36.71528116213683</v>
      </c>
      <c r="J315" s="6">
        <v>156700.82</v>
      </c>
      <c r="K315" s="6">
        <v>4026.48</v>
      </c>
      <c r="L315" s="6">
        <v>2.51</v>
      </c>
      <c r="M315" s="6">
        <f t="shared" si="1"/>
        <v>0.9434114339</v>
      </c>
      <c r="N315" s="6">
        <v>2.51</v>
      </c>
      <c r="O315" s="7" t="s">
        <v>45</v>
      </c>
      <c r="P315" s="7" t="s">
        <v>46</v>
      </c>
      <c r="Q315" s="7" t="s">
        <v>25</v>
      </c>
      <c r="R315" s="10">
        <v>3628.6</v>
      </c>
      <c r="S315" s="10">
        <v>397.88</v>
      </c>
      <c r="T315" s="9" t="s">
        <v>33</v>
      </c>
      <c r="U315" s="9"/>
      <c r="V315" s="9"/>
      <c r="W315" s="9"/>
      <c r="X315" s="9"/>
      <c r="Y315" s="9"/>
      <c r="Z315" s="9"/>
      <c r="AA315" s="9"/>
      <c r="AB315" s="9"/>
    </row>
    <row r="316">
      <c r="A316" s="5">
        <v>41952.0</v>
      </c>
      <c r="B316" s="6">
        <v>2014.0</v>
      </c>
      <c r="C316" s="7" t="s">
        <v>80</v>
      </c>
      <c r="D316" s="7" t="s">
        <v>47</v>
      </c>
      <c r="E316" s="7" t="s">
        <v>41</v>
      </c>
      <c r="F316" s="6">
        <v>1968.0</v>
      </c>
      <c r="G316" s="6">
        <v>74115.63</v>
      </c>
      <c r="H316" s="6">
        <v>37.66</v>
      </c>
      <c r="I316" s="8">
        <v>36.58249491869919</v>
      </c>
      <c r="J316" s="6">
        <v>71994.35</v>
      </c>
      <c r="K316" s="6">
        <v>2121.28</v>
      </c>
      <c r="L316" s="6">
        <v>2.86</v>
      </c>
      <c r="M316" s="6">
        <f t="shared" si="1"/>
        <v>1.077886179</v>
      </c>
      <c r="N316" s="6">
        <v>2.86</v>
      </c>
      <c r="O316" s="7" t="s">
        <v>45</v>
      </c>
      <c r="P316" s="7" t="s">
        <v>46</v>
      </c>
      <c r="Q316" s="7" t="s">
        <v>25</v>
      </c>
      <c r="R316" s="10">
        <v>4026.48</v>
      </c>
      <c r="S316" s="10">
        <v>-1905.2</v>
      </c>
      <c r="T316" s="9" t="s">
        <v>29</v>
      </c>
      <c r="U316" s="9"/>
      <c r="V316" s="9"/>
      <c r="W316" s="9"/>
      <c r="X316" s="9"/>
      <c r="Y316" s="9"/>
      <c r="Z316" s="9"/>
      <c r="AA316" s="9"/>
      <c r="AB316" s="9"/>
    </row>
    <row r="317">
      <c r="A317" s="5">
        <v>41953.0</v>
      </c>
      <c r="B317" s="6">
        <v>2014.0</v>
      </c>
      <c r="C317" s="7" t="s">
        <v>80</v>
      </c>
      <c r="D317" s="7" t="s">
        <v>48</v>
      </c>
      <c r="E317" s="7" t="s">
        <v>22</v>
      </c>
      <c r="F317" s="6">
        <v>2016.0</v>
      </c>
      <c r="G317" s="6">
        <v>76103.29</v>
      </c>
      <c r="H317" s="6">
        <v>37.75</v>
      </c>
      <c r="I317" s="8">
        <v>36.69028273809524</v>
      </c>
      <c r="J317" s="6">
        <v>73967.61</v>
      </c>
      <c r="K317" s="6">
        <v>2135.69</v>
      </c>
      <c r="L317" s="6">
        <v>2.81</v>
      </c>
      <c r="M317" s="6">
        <f t="shared" si="1"/>
        <v>1.05937004</v>
      </c>
      <c r="N317" s="6">
        <v>2.81</v>
      </c>
      <c r="O317" s="7" t="s">
        <v>45</v>
      </c>
      <c r="P317" s="7" t="s">
        <v>46</v>
      </c>
      <c r="Q317" s="7" t="s">
        <v>25</v>
      </c>
      <c r="R317" s="10">
        <v>2121.28</v>
      </c>
      <c r="S317" s="10">
        <v>14.4</v>
      </c>
      <c r="T317" s="9" t="s">
        <v>33</v>
      </c>
      <c r="U317" s="9"/>
      <c r="V317" s="9"/>
      <c r="W317" s="9"/>
      <c r="X317" s="9"/>
      <c r="Y317" s="9"/>
      <c r="Z317" s="9"/>
      <c r="AA317" s="9"/>
      <c r="AB317" s="9"/>
    </row>
    <row r="318">
      <c r="A318" s="5">
        <v>41954.0</v>
      </c>
      <c r="B318" s="6">
        <v>2014.0</v>
      </c>
      <c r="C318" s="7" t="s">
        <v>80</v>
      </c>
      <c r="D318" s="7" t="s">
        <v>49</v>
      </c>
      <c r="E318" s="7" t="s">
        <v>28</v>
      </c>
      <c r="F318" s="6">
        <v>1497.0</v>
      </c>
      <c r="G318" s="6">
        <v>56303.37</v>
      </c>
      <c r="H318" s="6">
        <v>37.61</v>
      </c>
      <c r="I318" s="8">
        <v>36.73805611222445</v>
      </c>
      <c r="J318" s="6">
        <v>54996.87</v>
      </c>
      <c r="K318" s="6">
        <v>1306.5</v>
      </c>
      <c r="L318" s="6">
        <v>2.32</v>
      </c>
      <c r="M318" s="6">
        <f t="shared" si="1"/>
        <v>0.872745491</v>
      </c>
      <c r="N318" s="6">
        <v>2.32</v>
      </c>
      <c r="O318" s="7" t="s">
        <v>45</v>
      </c>
      <c r="P318" s="7" t="s">
        <v>46</v>
      </c>
      <c r="Q318" s="7" t="s">
        <v>25</v>
      </c>
      <c r="R318" s="10">
        <v>2135.69</v>
      </c>
      <c r="S318" s="10">
        <v>-829.19</v>
      </c>
      <c r="T318" s="9" t="s">
        <v>29</v>
      </c>
      <c r="U318" s="9"/>
      <c r="V318" s="9"/>
      <c r="W318" s="9"/>
      <c r="X318" s="9"/>
      <c r="Y318" s="9"/>
      <c r="Z318" s="9"/>
      <c r="AA318" s="9"/>
      <c r="AB318" s="9"/>
    </row>
    <row r="319">
      <c r="A319" s="5">
        <v>41955.0</v>
      </c>
      <c r="B319" s="6">
        <v>2014.0</v>
      </c>
      <c r="C319" s="7" t="s">
        <v>80</v>
      </c>
      <c r="D319" s="7" t="s">
        <v>50</v>
      </c>
      <c r="E319" s="7" t="s">
        <v>32</v>
      </c>
      <c r="F319" s="6">
        <v>1314.0</v>
      </c>
      <c r="G319" s="6">
        <v>49436.82</v>
      </c>
      <c r="H319" s="6">
        <v>37.62</v>
      </c>
      <c r="I319" s="8">
        <v>36.750296803652965</v>
      </c>
      <c r="J319" s="6">
        <v>48289.89</v>
      </c>
      <c r="K319" s="6">
        <v>1146.92</v>
      </c>
      <c r="L319" s="6">
        <v>2.32</v>
      </c>
      <c r="M319" s="6">
        <f t="shared" si="1"/>
        <v>0.8728462709</v>
      </c>
      <c r="N319" s="6">
        <v>2.32</v>
      </c>
      <c r="O319" s="7" t="s">
        <v>45</v>
      </c>
      <c r="P319" s="7" t="s">
        <v>46</v>
      </c>
      <c r="Q319" s="7" t="s">
        <v>25</v>
      </c>
      <c r="R319" s="10">
        <v>1306.5</v>
      </c>
      <c r="S319" s="10">
        <v>-159.58</v>
      </c>
      <c r="T319" s="9" t="s">
        <v>29</v>
      </c>
      <c r="U319" s="9"/>
      <c r="V319" s="9"/>
      <c r="W319" s="9"/>
      <c r="X319" s="9"/>
      <c r="Y319" s="9"/>
      <c r="Z319" s="9"/>
      <c r="AA319" s="9"/>
      <c r="AB319" s="9"/>
    </row>
    <row r="320">
      <c r="A320" s="5">
        <v>41956.0</v>
      </c>
      <c r="B320" s="6">
        <v>2014.0</v>
      </c>
      <c r="C320" s="7" t="s">
        <v>80</v>
      </c>
      <c r="D320" s="7" t="s">
        <v>51</v>
      </c>
      <c r="E320" s="7" t="s">
        <v>35</v>
      </c>
      <c r="F320" s="6">
        <v>1466.0</v>
      </c>
      <c r="G320" s="6">
        <v>55033.12</v>
      </c>
      <c r="H320" s="6">
        <v>37.54</v>
      </c>
      <c r="I320" s="8">
        <v>36.83302864938609</v>
      </c>
      <c r="J320" s="6">
        <v>53997.22</v>
      </c>
      <c r="K320" s="6">
        <v>1035.9</v>
      </c>
      <c r="L320" s="6">
        <v>1.88</v>
      </c>
      <c r="M320" s="6">
        <f t="shared" si="1"/>
        <v>0.7066166439</v>
      </c>
      <c r="N320" s="6">
        <v>1.88</v>
      </c>
      <c r="O320" s="7" t="s">
        <v>45</v>
      </c>
      <c r="P320" s="7" t="s">
        <v>46</v>
      </c>
      <c r="Q320" s="7" t="s">
        <v>25</v>
      </c>
      <c r="R320" s="10">
        <v>1146.92</v>
      </c>
      <c r="S320" s="10">
        <v>-111.02</v>
      </c>
      <c r="T320" s="9" t="s">
        <v>29</v>
      </c>
      <c r="U320" s="9"/>
      <c r="V320" s="9"/>
      <c r="W320" s="9"/>
      <c r="X320" s="9"/>
      <c r="Y320" s="9"/>
      <c r="Z320" s="9"/>
      <c r="AA320" s="9"/>
      <c r="AB320" s="9"/>
    </row>
    <row r="321">
      <c r="A321" s="5">
        <v>41957.0</v>
      </c>
      <c r="B321" s="6">
        <v>2014.0</v>
      </c>
      <c r="C321" s="7" t="s">
        <v>80</v>
      </c>
      <c r="D321" s="7" t="s">
        <v>52</v>
      </c>
      <c r="E321" s="7" t="s">
        <v>37</v>
      </c>
      <c r="F321" s="6">
        <v>3984.0</v>
      </c>
      <c r="G321" s="6">
        <v>149808.17</v>
      </c>
      <c r="H321" s="6">
        <v>37.6</v>
      </c>
      <c r="I321" s="8">
        <v>36.89631024096386</v>
      </c>
      <c r="J321" s="6">
        <v>146994.9</v>
      </c>
      <c r="K321" s="6">
        <v>2813.27</v>
      </c>
      <c r="L321" s="6">
        <v>1.88</v>
      </c>
      <c r="M321" s="6">
        <f t="shared" si="1"/>
        <v>0.7061420683</v>
      </c>
      <c r="N321" s="6">
        <v>1.88</v>
      </c>
      <c r="O321" s="7" t="s">
        <v>45</v>
      </c>
      <c r="P321" s="7" t="s">
        <v>46</v>
      </c>
      <c r="Q321" s="7" t="s">
        <v>25</v>
      </c>
      <c r="R321" s="10">
        <v>1035.9</v>
      </c>
      <c r="S321" s="10">
        <v>1777.37</v>
      </c>
      <c r="T321" s="9" t="s">
        <v>33</v>
      </c>
      <c r="U321" s="9"/>
      <c r="V321" s="9"/>
      <c r="W321" s="9"/>
      <c r="X321" s="9"/>
      <c r="Y321" s="9"/>
      <c r="Z321" s="9"/>
      <c r="AA321" s="9"/>
      <c r="AB321" s="9"/>
    </row>
    <row r="322">
      <c r="A322" s="5">
        <v>41958.0</v>
      </c>
      <c r="B322" s="6">
        <v>2014.0</v>
      </c>
      <c r="C322" s="7" t="s">
        <v>80</v>
      </c>
      <c r="D322" s="7" t="s">
        <v>53</v>
      </c>
      <c r="E322" s="7" t="s">
        <v>39</v>
      </c>
      <c r="F322" s="6">
        <v>4802.0</v>
      </c>
      <c r="G322" s="6">
        <v>180685.51</v>
      </c>
      <c r="H322" s="6">
        <v>37.63</v>
      </c>
      <c r="I322" s="8">
        <v>36.8384589754269</v>
      </c>
      <c r="J322" s="6">
        <v>176898.28</v>
      </c>
      <c r="K322" s="6">
        <v>3787.23</v>
      </c>
      <c r="L322" s="6">
        <v>2.1</v>
      </c>
      <c r="M322" s="6">
        <f t="shared" si="1"/>
        <v>0.7886776343</v>
      </c>
      <c r="N322" s="6">
        <v>2.1</v>
      </c>
      <c r="O322" s="7" t="s">
        <v>45</v>
      </c>
      <c r="P322" s="7" t="s">
        <v>46</v>
      </c>
      <c r="Q322" s="7" t="s">
        <v>25</v>
      </c>
      <c r="R322" s="10">
        <v>2813.27</v>
      </c>
      <c r="S322" s="10">
        <v>973.96</v>
      </c>
      <c r="T322" s="9" t="s">
        <v>33</v>
      </c>
      <c r="U322" s="9"/>
      <c r="V322" s="9"/>
      <c r="W322" s="9"/>
      <c r="X322" s="9"/>
      <c r="Y322" s="9"/>
      <c r="Z322" s="9"/>
      <c r="AA322" s="9"/>
      <c r="AB322" s="9"/>
    </row>
    <row r="323">
      <c r="A323" s="5">
        <v>41959.0</v>
      </c>
      <c r="B323" s="6">
        <v>2014.0</v>
      </c>
      <c r="C323" s="7" t="s">
        <v>80</v>
      </c>
      <c r="D323" s="7" t="s">
        <v>54</v>
      </c>
      <c r="E323" s="7" t="s">
        <v>41</v>
      </c>
      <c r="F323" s="6">
        <v>2017.0</v>
      </c>
      <c r="G323" s="6">
        <v>75871.44</v>
      </c>
      <c r="H323" s="6">
        <v>37.62</v>
      </c>
      <c r="I323" s="8">
        <v>36.64145265245414</v>
      </c>
      <c r="J323" s="6">
        <v>73905.81</v>
      </c>
      <c r="K323" s="6">
        <v>1965.63</v>
      </c>
      <c r="L323" s="6">
        <v>2.59</v>
      </c>
      <c r="M323" s="6">
        <f t="shared" si="1"/>
        <v>0.9745314824</v>
      </c>
      <c r="N323" s="6">
        <v>2.59</v>
      </c>
      <c r="O323" s="7" t="s">
        <v>45</v>
      </c>
      <c r="P323" s="7" t="s">
        <v>46</v>
      </c>
      <c r="Q323" s="7" t="s">
        <v>25</v>
      </c>
      <c r="R323" s="10">
        <v>3787.23</v>
      </c>
      <c r="S323" s="10">
        <v>-1821.61</v>
      </c>
      <c r="T323" s="9" t="s">
        <v>29</v>
      </c>
      <c r="U323" s="9"/>
      <c r="V323" s="9"/>
      <c r="W323" s="9"/>
      <c r="X323" s="9"/>
      <c r="Y323" s="9"/>
      <c r="Z323" s="9"/>
      <c r="AA323" s="9"/>
      <c r="AB323" s="9"/>
    </row>
    <row r="324">
      <c r="A324" s="5">
        <v>41960.0</v>
      </c>
      <c r="B324" s="6">
        <v>2014.0</v>
      </c>
      <c r="C324" s="7" t="s">
        <v>80</v>
      </c>
      <c r="D324" s="7" t="s">
        <v>55</v>
      </c>
      <c r="E324" s="7" t="s">
        <v>22</v>
      </c>
      <c r="F324" s="6">
        <v>2297.0</v>
      </c>
      <c r="G324" s="6">
        <v>86313.33</v>
      </c>
      <c r="H324" s="6">
        <v>37.58</v>
      </c>
      <c r="I324" s="8">
        <v>36.751758815846756</v>
      </c>
      <c r="J324" s="6">
        <v>84418.79</v>
      </c>
      <c r="K324" s="6">
        <v>1894.54</v>
      </c>
      <c r="L324" s="6">
        <v>2.19</v>
      </c>
      <c r="M324" s="6">
        <f t="shared" si="1"/>
        <v>0.824788855</v>
      </c>
      <c r="N324" s="6">
        <v>2.2</v>
      </c>
      <c r="O324" s="7" t="s">
        <v>45</v>
      </c>
      <c r="P324" s="7" t="s">
        <v>46</v>
      </c>
      <c r="Q324" s="7" t="s">
        <v>25</v>
      </c>
      <c r="R324" s="10">
        <v>1965.63</v>
      </c>
      <c r="S324" s="10">
        <v>-71.08</v>
      </c>
      <c r="T324" s="9" t="s">
        <v>29</v>
      </c>
      <c r="U324" s="9"/>
      <c r="V324" s="9"/>
      <c r="W324" s="9"/>
      <c r="X324" s="9"/>
      <c r="Y324" s="9"/>
      <c r="Z324" s="9"/>
      <c r="AA324" s="9"/>
      <c r="AB324" s="9"/>
    </row>
    <row r="325">
      <c r="A325" s="5">
        <v>41961.0</v>
      </c>
      <c r="B325" s="6">
        <v>2014.0</v>
      </c>
      <c r="C325" s="7" t="s">
        <v>80</v>
      </c>
      <c r="D325" s="7" t="s">
        <v>56</v>
      </c>
      <c r="E325" s="7" t="s">
        <v>28</v>
      </c>
      <c r="F325" s="6">
        <v>1665.0</v>
      </c>
      <c r="G325" s="6">
        <v>62631.8</v>
      </c>
      <c r="H325" s="6">
        <v>37.62</v>
      </c>
      <c r="I325" s="8">
        <v>36.73174774774775</v>
      </c>
      <c r="J325" s="6">
        <v>61158.36</v>
      </c>
      <c r="K325" s="6">
        <v>1473.44</v>
      </c>
      <c r="L325" s="6">
        <v>2.35</v>
      </c>
      <c r="M325" s="6">
        <f t="shared" si="1"/>
        <v>0.8849489489</v>
      </c>
      <c r="N325" s="6">
        <v>2.35</v>
      </c>
      <c r="O325" s="7" t="s">
        <v>45</v>
      </c>
      <c r="P325" s="7" t="s">
        <v>46</v>
      </c>
      <c r="Q325" s="7" t="s">
        <v>25</v>
      </c>
      <c r="R325" s="10">
        <v>1894.54</v>
      </c>
      <c r="S325" s="10">
        <v>-421.11</v>
      </c>
      <c r="T325" s="9" t="s">
        <v>29</v>
      </c>
      <c r="U325" s="9"/>
      <c r="V325" s="9"/>
      <c r="W325" s="9"/>
      <c r="X325" s="9"/>
      <c r="Y325" s="9"/>
      <c r="Z325" s="9"/>
      <c r="AA325" s="9"/>
      <c r="AB325" s="9"/>
    </row>
    <row r="326">
      <c r="A326" s="5">
        <v>41962.0</v>
      </c>
      <c r="B326" s="6">
        <v>2014.0</v>
      </c>
      <c r="C326" s="7" t="s">
        <v>80</v>
      </c>
      <c r="D326" s="7" t="s">
        <v>57</v>
      </c>
      <c r="E326" s="7" t="s">
        <v>32</v>
      </c>
      <c r="F326" s="6">
        <v>1291.0</v>
      </c>
      <c r="G326" s="6">
        <v>48529.1</v>
      </c>
      <c r="H326" s="6">
        <v>37.59</v>
      </c>
      <c r="I326" s="8">
        <v>36.72312161115415</v>
      </c>
      <c r="J326" s="6">
        <v>47409.55</v>
      </c>
      <c r="K326" s="6">
        <v>1119.55</v>
      </c>
      <c r="L326" s="6">
        <v>2.31</v>
      </c>
      <c r="M326" s="6">
        <f t="shared" si="1"/>
        <v>0.8671959721</v>
      </c>
      <c r="N326" s="6">
        <v>2.31</v>
      </c>
      <c r="O326" s="7" t="s">
        <v>45</v>
      </c>
      <c r="P326" s="7" t="s">
        <v>46</v>
      </c>
      <c r="Q326" s="7" t="s">
        <v>25</v>
      </c>
      <c r="R326" s="10">
        <v>1473.44</v>
      </c>
      <c r="S326" s="10">
        <v>-353.89</v>
      </c>
      <c r="T326" s="9" t="s">
        <v>29</v>
      </c>
      <c r="U326" s="9"/>
      <c r="V326" s="9"/>
      <c r="W326" s="9"/>
      <c r="X326" s="9"/>
      <c r="Y326" s="9"/>
      <c r="Z326" s="9"/>
      <c r="AA326" s="9"/>
      <c r="AB326" s="9"/>
    </row>
    <row r="327">
      <c r="A327" s="5">
        <v>41963.0</v>
      </c>
      <c r="B327" s="6">
        <v>2014.0</v>
      </c>
      <c r="C327" s="7" t="s">
        <v>80</v>
      </c>
      <c r="D327" s="7" t="s">
        <v>58</v>
      </c>
      <c r="E327" s="7" t="s">
        <v>35</v>
      </c>
      <c r="F327" s="6">
        <v>1361.0</v>
      </c>
      <c r="G327" s="6">
        <v>51040.88</v>
      </c>
      <c r="H327" s="6">
        <v>37.5</v>
      </c>
      <c r="I327" s="8">
        <v>36.76571638501102</v>
      </c>
      <c r="J327" s="6">
        <v>50038.14</v>
      </c>
      <c r="K327" s="6">
        <v>1002.74</v>
      </c>
      <c r="L327" s="6">
        <v>1.96</v>
      </c>
      <c r="M327" s="6">
        <f t="shared" si="1"/>
        <v>0.736767083</v>
      </c>
      <c r="N327" s="6">
        <v>1.96</v>
      </c>
      <c r="O327" s="7" t="s">
        <v>45</v>
      </c>
      <c r="P327" s="7" t="s">
        <v>46</v>
      </c>
      <c r="Q327" s="7" t="s">
        <v>25</v>
      </c>
      <c r="R327" s="10">
        <v>1119.55</v>
      </c>
      <c r="S327" s="10">
        <v>-116.81</v>
      </c>
      <c r="T327" s="9" t="s">
        <v>29</v>
      </c>
      <c r="U327" s="9"/>
      <c r="V327" s="9"/>
      <c r="W327" s="9"/>
      <c r="X327" s="9"/>
      <c r="Y327" s="9"/>
      <c r="Z327" s="9"/>
      <c r="AA327" s="9"/>
      <c r="AB327" s="9"/>
    </row>
    <row r="328">
      <c r="A328" s="5">
        <v>41964.0</v>
      </c>
      <c r="B328" s="6">
        <v>2014.0</v>
      </c>
      <c r="C328" s="7" t="s">
        <v>80</v>
      </c>
      <c r="D328" s="7" t="s">
        <v>59</v>
      </c>
      <c r="E328" s="7" t="s">
        <v>37</v>
      </c>
      <c r="F328" s="6">
        <v>1281.0</v>
      </c>
      <c r="G328" s="6">
        <v>53973.92</v>
      </c>
      <c r="H328" s="6">
        <v>42.13</v>
      </c>
      <c r="I328" s="8">
        <v>36.840359094457455</v>
      </c>
      <c r="J328" s="6">
        <v>47192.5</v>
      </c>
      <c r="K328" s="6">
        <v>6781.42</v>
      </c>
      <c r="L328" s="6">
        <v>12.56</v>
      </c>
      <c r="M328" s="6">
        <f t="shared" si="1"/>
        <v>5.293848556</v>
      </c>
      <c r="N328" s="6">
        <v>12.56</v>
      </c>
      <c r="O328" s="7" t="s">
        <v>45</v>
      </c>
      <c r="P328" s="7" t="s">
        <v>46</v>
      </c>
      <c r="Q328" s="7" t="s">
        <v>25</v>
      </c>
      <c r="R328" s="10">
        <v>1002.74</v>
      </c>
      <c r="S328" s="10">
        <v>5778.69</v>
      </c>
      <c r="T328" s="9" t="s">
        <v>33</v>
      </c>
      <c r="U328" s="9"/>
      <c r="V328" s="9"/>
      <c r="W328" s="9"/>
      <c r="X328" s="9"/>
      <c r="Y328" s="9"/>
      <c r="Z328" s="9"/>
      <c r="AA328" s="9"/>
      <c r="AB328" s="9"/>
    </row>
    <row r="329">
      <c r="A329" s="5">
        <v>41965.0</v>
      </c>
      <c r="B329" s="6">
        <v>2014.0</v>
      </c>
      <c r="C329" s="7" t="s">
        <v>80</v>
      </c>
      <c r="D329" s="7" t="s">
        <v>60</v>
      </c>
      <c r="E329" s="7" t="s">
        <v>39</v>
      </c>
      <c r="F329" s="6">
        <v>1122.0</v>
      </c>
      <c r="G329" s="6">
        <v>47497.98</v>
      </c>
      <c r="H329" s="6">
        <v>42.33</v>
      </c>
      <c r="I329" s="8">
        <v>36.701506238859174</v>
      </c>
      <c r="J329" s="6">
        <v>41179.09</v>
      </c>
      <c r="K329" s="6">
        <v>6318.89</v>
      </c>
      <c r="L329" s="6">
        <v>13.3</v>
      </c>
      <c r="M329" s="6">
        <f t="shared" si="1"/>
        <v>5.631809269</v>
      </c>
      <c r="N329" s="6">
        <v>13.3</v>
      </c>
      <c r="O329" s="7" t="s">
        <v>45</v>
      </c>
      <c r="P329" s="7" t="s">
        <v>46</v>
      </c>
      <c r="Q329" s="7" t="s">
        <v>25</v>
      </c>
      <c r="R329" s="10">
        <v>6781.42</v>
      </c>
      <c r="S329" s="10">
        <v>-462.53</v>
      </c>
      <c r="T329" s="9" t="s">
        <v>29</v>
      </c>
      <c r="U329" s="9"/>
      <c r="V329" s="9"/>
      <c r="W329" s="9"/>
      <c r="X329" s="9"/>
      <c r="Y329" s="9"/>
      <c r="Z329" s="9"/>
      <c r="AA329" s="9"/>
      <c r="AB329" s="9"/>
    </row>
    <row r="330">
      <c r="A330" s="5">
        <v>41966.0</v>
      </c>
      <c r="B330" s="6">
        <v>2014.0</v>
      </c>
      <c r="C330" s="7" t="s">
        <v>80</v>
      </c>
      <c r="D330" s="7" t="s">
        <v>61</v>
      </c>
      <c r="E330" s="7" t="s">
        <v>41</v>
      </c>
      <c r="F330" s="6">
        <v>737.0</v>
      </c>
      <c r="G330" s="6">
        <v>31219.95</v>
      </c>
      <c r="H330" s="6">
        <v>42.36</v>
      </c>
      <c r="I330" s="8">
        <v>36.49023066485753</v>
      </c>
      <c r="J330" s="6">
        <v>26893.3</v>
      </c>
      <c r="K330" s="6">
        <v>4326.65</v>
      </c>
      <c r="L330" s="6">
        <v>13.86</v>
      </c>
      <c r="M330" s="6">
        <f t="shared" si="1"/>
        <v>5.870624152</v>
      </c>
      <c r="N330" s="6">
        <v>13.86</v>
      </c>
      <c r="O330" s="7" t="s">
        <v>45</v>
      </c>
      <c r="P330" s="7" t="s">
        <v>46</v>
      </c>
      <c r="Q330" s="7" t="s">
        <v>25</v>
      </c>
      <c r="R330" s="10">
        <v>6318.89</v>
      </c>
      <c r="S330" s="10">
        <v>-1992.25</v>
      </c>
      <c r="T330" s="9" t="s">
        <v>29</v>
      </c>
      <c r="U330" s="9"/>
      <c r="V330" s="9"/>
      <c r="W330" s="9"/>
      <c r="X330" s="9"/>
      <c r="Y330" s="9"/>
      <c r="Z330" s="9"/>
      <c r="AA330" s="9"/>
      <c r="AB330" s="9"/>
    </row>
    <row r="331">
      <c r="A331" s="5">
        <v>41967.0</v>
      </c>
      <c r="B331" s="6">
        <v>2014.0</v>
      </c>
      <c r="C331" s="7" t="s">
        <v>80</v>
      </c>
      <c r="D331" s="7" t="s">
        <v>62</v>
      </c>
      <c r="E331" s="7" t="s">
        <v>22</v>
      </c>
      <c r="F331" s="6">
        <v>641.0</v>
      </c>
      <c r="G331" s="6">
        <v>26870.32</v>
      </c>
      <c r="H331" s="6">
        <v>41.92</v>
      </c>
      <c r="I331" s="8">
        <v>36.68648985959439</v>
      </c>
      <c r="J331" s="6">
        <v>23516.04</v>
      </c>
      <c r="K331" s="6">
        <v>3354.28</v>
      </c>
      <c r="L331" s="6">
        <v>12.48</v>
      </c>
      <c r="M331" s="6">
        <f t="shared" si="1"/>
        <v>5.232886115</v>
      </c>
      <c r="N331" s="6">
        <v>12.48</v>
      </c>
      <c r="O331" s="7" t="s">
        <v>45</v>
      </c>
      <c r="P331" s="7" t="s">
        <v>46</v>
      </c>
      <c r="Q331" s="7" t="s">
        <v>25</v>
      </c>
      <c r="R331" s="10">
        <v>4326.65</v>
      </c>
      <c r="S331" s="10">
        <v>-972.36</v>
      </c>
      <c r="T331" s="9" t="s">
        <v>29</v>
      </c>
      <c r="U331" s="9"/>
      <c r="V331" s="9"/>
      <c r="W331" s="9"/>
      <c r="X331" s="9"/>
      <c r="Y331" s="9"/>
      <c r="Z331" s="9"/>
      <c r="AA331" s="9"/>
      <c r="AB331" s="9"/>
    </row>
    <row r="332">
      <c r="A332" s="5">
        <v>41968.0</v>
      </c>
      <c r="B332" s="6">
        <v>2014.0</v>
      </c>
      <c r="C332" s="7" t="s">
        <v>80</v>
      </c>
      <c r="D332" s="7" t="s">
        <v>63</v>
      </c>
      <c r="E332" s="7" t="s">
        <v>28</v>
      </c>
      <c r="F332" s="6">
        <v>968.0</v>
      </c>
      <c r="G332" s="6">
        <v>40530.64</v>
      </c>
      <c r="H332" s="6">
        <v>41.87</v>
      </c>
      <c r="I332" s="8">
        <v>36.8535020661157</v>
      </c>
      <c r="J332" s="6">
        <v>35674.19</v>
      </c>
      <c r="K332" s="6">
        <v>4856.45</v>
      </c>
      <c r="L332" s="6">
        <v>11.98</v>
      </c>
      <c r="M332" s="6">
        <f t="shared" si="1"/>
        <v>5.016993802</v>
      </c>
      <c r="N332" s="6">
        <v>11.98</v>
      </c>
      <c r="O332" s="7" t="s">
        <v>45</v>
      </c>
      <c r="P332" s="7" t="s">
        <v>46</v>
      </c>
      <c r="Q332" s="7" t="s">
        <v>25</v>
      </c>
      <c r="R332" s="10">
        <v>3354.28</v>
      </c>
      <c r="S332" s="10">
        <v>1502.17</v>
      </c>
      <c r="T332" s="9" t="s">
        <v>33</v>
      </c>
      <c r="U332" s="9"/>
      <c r="V332" s="9"/>
      <c r="W332" s="9"/>
      <c r="X332" s="9"/>
      <c r="Y332" s="9"/>
      <c r="Z332" s="9"/>
      <c r="AA332" s="9"/>
      <c r="AB332" s="9"/>
    </row>
    <row r="333">
      <c r="A333" s="5">
        <v>41969.0</v>
      </c>
      <c r="B333" s="6">
        <v>2014.0</v>
      </c>
      <c r="C333" s="7" t="s">
        <v>80</v>
      </c>
      <c r="D333" s="7" t="s">
        <v>64</v>
      </c>
      <c r="E333" s="7" t="s">
        <v>32</v>
      </c>
      <c r="F333" s="6">
        <v>709.0</v>
      </c>
      <c r="G333" s="6">
        <v>30371.43</v>
      </c>
      <c r="H333" s="6">
        <v>42.84</v>
      </c>
      <c r="I333" s="8">
        <v>36.74873060648801</v>
      </c>
      <c r="J333" s="6">
        <v>26054.85</v>
      </c>
      <c r="K333" s="6">
        <v>4316.58</v>
      </c>
      <c r="L333" s="6">
        <v>14.21</v>
      </c>
      <c r="M333" s="6">
        <f t="shared" si="1"/>
        <v>6.088265162</v>
      </c>
      <c r="N333" s="6">
        <v>14.21</v>
      </c>
      <c r="O333" s="7" t="s">
        <v>45</v>
      </c>
      <c r="P333" s="7" t="s">
        <v>46</v>
      </c>
      <c r="Q333" s="7" t="s">
        <v>25</v>
      </c>
      <c r="R333" s="10">
        <v>4856.45</v>
      </c>
      <c r="S333" s="10">
        <v>-539.87</v>
      </c>
      <c r="T333" s="9" t="s">
        <v>29</v>
      </c>
      <c r="U333" s="9"/>
      <c r="V333" s="9"/>
      <c r="W333" s="9"/>
      <c r="X333" s="9"/>
      <c r="Y333" s="9"/>
      <c r="Z333" s="9"/>
      <c r="AA333" s="9"/>
      <c r="AB333" s="9"/>
    </row>
    <row r="334">
      <c r="A334" s="5">
        <v>41970.0</v>
      </c>
      <c r="B334" s="6">
        <v>2014.0</v>
      </c>
      <c r="C334" s="7" t="s">
        <v>80</v>
      </c>
      <c r="D334" s="7" t="s">
        <v>65</v>
      </c>
      <c r="E334" s="7" t="s">
        <v>35</v>
      </c>
      <c r="F334" s="6">
        <v>880.0</v>
      </c>
      <c r="G334" s="6">
        <v>37776.66</v>
      </c>
      <c r="H334" s="6">
        <v>42.93</v>
      </c>
      <c r="I334" s="8">
        <v>37.18146590909091</v>
      </c>
      <c r="J334" s="6">
        <v>32719.69</v>
      </c>
      <c r="K334" s="6">
        <v>5056.97</v>
      </c>
      <c r="L334" s="6">
        <v>13.39</v>
      </c>
      <c r="M334" s="6">
        <f t="shared" si="1"/>
        <v>5.746556818</v>
      </c>
      <c r="N334" s="6">
        <v>13.39</v>
      </c>
      <c r="O334" s="7" t="s">
        <v>45</v>
      </c>
      <c r="P334" s="7" t="s">
        <v>46</v>
      </c>
      <c r="Q334" s="7" t="s">
        <v>25</v>
      </c>
      <c r="R334" s="10">
        <v>4316.58</v>
      </c>
      <c r="S334" s="10">
        <v>740.39</v>
      </c>
      <c r="T334" s="9" t="s">
        <v>33</v>
      </c>
      <c r="U334" s="9"/>
      <c r="V334" s="9"/>
      <c r="W334" s="9"/>
      <c r="X334" s="9"/>
      <c r="Y334" s="9"/>
      <c r="Z334" s="9"/>
      <c r="AA334" s="9"/>
      <c r="AB334" s="9"/>
    </row>
    <row r="335">
      <c r="A335" s="5">
        <v>41971.0</v>
      </c>
      <c r="B335" s="6">
        <v>2014.0</v>
      </c>
      <c r="C335" s="7" t="s">
        <v>80</v>
      </c>
      <c r="D335" s="7" t="s">
        <v>66</v>
      </c>
      <c r="E335" s="7" t="s">
        <v>37</v>
      </c>
      <c r="F335" s="6">
        <v>1096.0</v>
      </c>
      <c r="G335" s="6">
        <v>46818.21</v>
      </c>
      <c r="H335" s="6">
        <v>42.72</v>
      </c>
      <c r="I335" s="8">
        <v>37.0917700729927</v>
      </c>
      <c r="J335" s="6">
        <v>40652.58</v>
      </c>
      <c r="K335" s="6">
        <v>6165.63</v>
      </c>
      <c r="L335" s="6">
        <v>13.17</v>
      </c>
      <c r="M335" s="6">
        <f t="shared" si="1"/>
        <v>5.625574818</v>
      </c>
      <c r="N335" s="6">
        <v>13.17</v>
      </c>
      <c r="O335" s="7" t="s">
        <v>45</v>
      </c>
      <c r="P335" s="7" t="s">
        <v>46</v>
      </c>
      <c r="Q335" s="7" t="s">
        <v>25</v>
      </c>
      <c r="R335" s="10">
        <v>5056.97</v>
      </c>
      <c r="S335" s="10">
        <v>1108.66</v>
      </c>
      <c r="T335" s="9" t="s">
        <v>33</v>
      </c>
      <c r="U335" s="9"/>
      <c r="V335" s="9"/>
      <c r="W335" s="9"/>
      <c r="X335" s="9"/>
      <c r="Y335" s="9"/>
      <c r="Z335" s="9"/>
      <c r="AA335" s="9"/>
      <c r="AB335" s="9"/>
    </row>
    <row r="336">
      <c r="A336" s="5">
        <v>41972.0</v>
      </c>
      <c r="B336" s="6">
        <v>2014.0</v>
      </c>
      <c r="C336" s="7" t="s">
        <v>80</v>
      </c>
      <c r="D336" s="7" t="s">
        <v>67</v>
      </c>
      <c r="E336" s="7" t="s">
        <v>39</v>
      </c>
      <c r="F336" s="6">
        <v>2068.0</v>
      </c>
      <c r="G336" s="6">
        <v>88321.63</v>
      </c>
      <c r="H336" s="6">
        <v>42.71</v>
      </c>
      <c r="I336" s="8">
        <v>38.6268085106383</v>
      </c>
      <c r="J336" s="6">
        <v>79880.24</v>
      </c>
      <c r="K336" s="6">
        <v>8441.38</v>
      </c>
      <c r="L336" s="6">
        <v>9.56</v>
      </c>
      <c r="M336" s="6">
        <f t="shared" si="1"/>
        <v>4.081905222</v>
      </c>
      <c r="N336" s="6">
        <v>9.56</v>
      </c>
      <c r="O336" s="7" t="s">
        <v>45</v>
      </c>
      <c r="P336" s="7" t="s">
        <v>46</v>
      </c>
      <c r="Q336" s="7" t="s">
        <v>25</v>
      </c>
      <c r="R336" s="10">
        <v>6165.63</v>
      </c>
      <c r="S336" s="10">
        <v>2275.75</v>
      </c>
      <c r="T336" s="9" t="s">
        <v>33</v>
      </c>
      <c r="U336" s="9"/>
      <c r="V336" s="9"/>
      <c r="W336" s="9"/>
      <c r="X336" s="9"/>
      <c r="Y336" s="9"/>
      <c r="Z336" s="9"/>
      <c r="AA336" s="9"/>
      <c r="AB336" s="9"/>
    </row>
    <row r="337">
      <c r="A337" s="5">
        <v>41973.0</v>
      </c>
      <c r="B337" s="6">
        <v>2014.0</v>
      </c>
      <c r="C337" s="7" t="s">
        <v>80</v>
      </c>
      <c r="D337" s="7" t="s">
        <v>21</v>
      </c>
      <c r="E337" s="7" t="s">
        <v>41</v>
      </c>
      <c r="F337" s="6">
        <v>2375.0</v>
      </c>
      <c r="G337" s="6">
        <v>101037.83</v>
      </c>
      <c r="H337" s="6">
        <v>42.54</v>
      </c>
      <c r="I337" s="8">
        <v>39.23279157894737</v>
      </c>
      <c r="J337" s="6">
        <v>93177.88</v>
      </c>
      <c r="K337" s="6">
        <v>7859.94</v>
      </c>
      <c r="L337" s="6">
        <v>7.78</v>
      </c>
      <c r="M337" s="6">
        <f t="shared" si="1"/>
        <v>3.309448421</v>
      </c>
      <c r="N337" s="6">
        <v>7.78</v>
      </c>
      <c r="O337" s="7" t="s">
        <v>45</v>
      </c>
      <c r="P337" s="7" t="s">
        <v>46</v>
      </c>
      <c r="Q337" s="7" t="s">
        <v>25</v>
      </c>
      <c r="R337" s="10">
        <v>8441.38</v>
      </c>
      <c r="S337" s="10">
        <v>-581.44</v>
      </c>
      <c r="T337" s="9" t="s">
        <v>29</v>
      </c>
      <c r="U337" s="9"/>
      <c r="V337" s="9"/>
      <c r="W337" s="9"/>
      <c r="X337" s="9"/>
      <c r="Y337" s="9"/>
      <c r="Z337" s="9"/>
      <c r="AA337" s="9"/>
      <c r="AB337" s="9"/>
    </row>
    <row r="338">
      <c r="A338" s="5">
        <v>41974.0</v>
      </c>
      <c r="B338" s="6">
        <v>2014.0</v>
      </c>
      <c r="C338" s="7" t="s">
        <v>20</v>
      </c>
      <c r="D338" s="7" t="s">
        <v>31</v>
      </c>
      <c r="E338" s="7" t="s">
        <v>22</v>
      </c>
      <c r="F338" s="6">
        <v>2492.0</v>
      </c>
      <c r="G338" s="6">
        <v>105100.67</v>
      </c>
      <c r="H338" s="6">
        <v>42.18</v>
      </c>
      <c r="I338" s="8">
        <v>39.02784510433387</v>
      </c>
      <c r="J338" s="6">
        <v>97257.39</v>
      </c>
      <c r="K338" s="6">
        <v>7843.27</v>
      </c>
      <c r="L338" s="6">
        <v>7.46</v>
      </c>
      <c r="M338" s="6">
        <f t="shared" si="1"/>
        <v>3.147379615</v>
      </c>
      <c r="N338" s="6">
        <v>7.46</v>
      </c>
      <c r="O338" s="7" t="s">
        <v>45</v>
      </c>
      <c r="P338" s="7" t="s">
        <v>46</v>
      </c>
      <c r="Q338" s="7" t="s">
        <v>25</v>
      </c>
      <c r="R338" s="10">
        <v>7859.94</v>
      </c>
      <c r="S338" s="10">
        <v>-16.67</v>
      </c>
      <c r="T338" s="9" t="s">
        <v>29</v>
      </c>
      <c r="U338" s="9"/>
      <c r="V338" s="9"/>
      <c r="W338" s="9"/>
      <c r="X338" s="9"/>
      <c r="Y338" s="9"/>
      <c r="Z338" s="9"/>
      <c r="AA338" s="9"/>
      <c r="AB338" s="9"/>
    </row>
    <row r="339">
      <c r="A339" s="5">
        <v>41975.0</v>
      </c>
      <c r="B339" s="6">
        <v>2014.0</v>
      </c>
      <c r="C339" s="7" t="s">
        <v>20</v>
      </c>
      <c r="D339" s="7" t="s">
        <v>34</v>
      </c>
      <c r="E339" s="7" t="s">
        <v>28</v>
      </c>
      <c r="F339" s="6">
        <v>2170.0</v>
      </c>
      <c r="G339" s="6">
        <v>88219.53</v>
      </c>
      <c r="H339" s="6">
        <v>40.65</v>
      </c>
      <c r="I339" s="8">
        <v>39.41632718894009</v>
      </c>
      <c r="J339" s="6">
        <v>85533.43</v>
      </c>
      <c r="K339" s="6">
        <v>2686.1</v>
      </c>
      <c r="L339" s="6">
        <v>3.04</v>
      </c>
      <c r="M339" s="6">
        <f t="shared" si="1"/>
        <v>1.237834101</v>
      </c>
      <c r="N339" s="6">
        <v>3.04</v>
      </c>
      <c r="O339" s="7" t="s">
        <v>45</v>
      </c>
      <c r="P339" s="7" t="s">
        <v>46</v>
      </c>
      <c r="Q339" s="7" t="s">
        <v>25</v>
      </c>
      <c r="R339" s="10">
        <v>7843.27</v>
      </c>
      <c r="S339" s="10">
        <v>-5157.18</v>
      </c>
      <c r="T339" s="9" t="s">
        <v>29</v>
      </c>
      <c r="U339" s="9"/>
      <c r="V339" s="9"/>
      <c r="W339" s="9"/>
      <c r="X339" s="9"/>
      <c r="Y339" s="9"/>
      <c r="Z339" s="9"/>
      <c r="AA339" s="9"/>
      <c r="AB339" s="9"/>
    </row>
    <row r="340">
      <c r="A340" s="5">
        <v>41976.0</v>
      </c>
      <c r="B340" s="6">
        <v>2014.0</v>
      </c>
      <c r="C340" s="7" t="s">
        <v>20</v>
      </c>
      <c r="D340" s="7" t="s">
        <v>36</v>
      </c>
      <c r="E340" s="7" t="s">
        <v>32</v>
      </c>
      <c r="F340" s="6">
        <v>1784.0</v>
      </c>
      <c r="G340" s="6">
        <v>71590.37</v>
      </c>
      <c r="H340" s="6">
        <v>40.13</v>
      </c>
      <c r="I340" s="8">
        <v>39.0442432735426</v>
      </c>
      <c r="J340" s="6">
        <v>69654.93</v>
      </c>
      <c r="K340" s="6">
        <v>1935.44</v>
      </c>
      <c r="L340" s="6">
        <v>2.7</v>
      </c>
      <c r="M340" s="6">
        <f t="shared" si="1"/>
        <v>1.084887892</v>
      </c>
      <c r="N340" s="6">
        <v>2.7</v>
      </c>
      <c r="O340" s="7" t="s">
        <v>45</v>
      </c>
      <c r="P340" s="7" t="s">
        <v>46</v>
      </c>
      <c r="Q340" s="7" t="s">
        <v>25</v>
      </c>
      <c r="R340" s="10">
        <v>2686.1</v>
      </c>
      <c r="S340" s="10">
        <v>-750.66</v>
      </c>
      <c r="T340" s="9" t="s">
        <v>29</v>
      </c>
      <c r="U340" s="9"/>
      <c r="V340" s="9"/>
      <c r="W340" s="9"/>
      <c r="X340" s="9"/>
      <c r="Y340" s="9"/>
      <c r="Z340" s="9"/>
      <c r="AA340" s="9"/>
      <c r="AB340" s="9"/>
    </row>
    <row r="341">
      <c r="A341" s="5">
        <v>41977.0</v>
      </c>
      <c r="B341" s="6">
        <v>2014.0</v>
      </c>
      <c r="C341" s="7" t="s">
        <v>20</v>
      </c>
      <c r="D341" s="7" t="s">
        <v>38</v>
      </c>
      <c r="E341" s="7" t="s">
        <v>35</v>
      </c>
      <c r="F341" s="6">
        <v>1368.0</v>
      </c>
      <c r="G341" s="6">
        <v>54996.62</v>
      </c>
      <c r="H341" s="6">
        <v>40.2</v>
      </c>
      <c r="I341" s="8">
        <v>39.84139619883041</v>
      </c>
      <c r="J341" s="6">
        <v>54503.03</v>
      </c>
      <c r="K341" s="6">
        <v>493.59</v>
      </c>
      <c r="L341" s="6">
        <v>0.9</v>
      </c>
      <c r="M341" s="6">
        <f t="shared" si="1"/>
        <v>0.3608114035</v>
      </c>
      <c r="N341" s="6">
        <v>0.9</v>
      </c>
      <c r="O341" s="7" t="s">
        <v>45</v>
      </c>
      <c r="P341" s="7" t="s">
        <v>46</v>
      </c>
      <c r="Q341" s="7" t="s">
        <v>25</v>
      </c>
      <c r="R341" s="10">
        <v>1935.44</v>
      </c>
      <c r="S341" s="10">
        <v>-1441.85</v>
      </c>
      <c r="T341" s="9" t="s">
        <v>29</v>
      </c>
      <c r="U341" s="9"/>
      <c r="V341" s="9"/>
      <c r="W341" s="9"/>
      <c r="X341" s="9"/>
      <c r="Y341" s="9"/>
      <c r="Z341" s="9"/>
      <c r="AA341" s="9"/>
      <c r="AB341" s="9"/>
    </row>
    <row r="342">
      <c r="A342" s="5">
        <v>41978.0</v>
      </c>
      <c r="B342" s="6">
        <v>2014.0</v>
      </c>
      <c r="C342" s="7" t="s">
        <v>20</v>
      </c>
      <c r="D342" s="7" t="s">
        <v>40</v>
      </c>
      <c r="E342" s="7" t="s">
        <v>37</v>
      </c>
      <c r="F342" s="6">
        <v>1914.0</v>
      </c>
      <c r="G342" s="6">
        <v>77884.18</v>
      </c>
      <c r="H342" s="6">
        <v>40.69</v>
      </c>
      <c r="I342" s="8">
        <v>40.55344305120167</v>
      </c>
      <c r="J342" s="6">
        <v>77619.29</v>
      </c>
      <c r="K342" s="6">
        <v>264.89</v>
      </c>
      <c r="L342" s="6">
        <v>0.34</v>
      </c>
      <c r="M342" s="6">
        <f t="shared" si="1"/>
        <v>0.1383960293</v>
      </c>
      <c r="N342" s="6">
        <v>0.34</v>
      </c>
      <c r="O342" s="7" t="s">
        <v>45</v>
      </c>
      <c r="P342" s="7" t="s">
        <v>46</v>
      </c>
      <c r="Q342" s="7" t="s">
        <v>25</v>
      </c>
      <c r="R342" s="10">
        <v>493.59</v>
      </c>
      <c r="S342" s="10">
        <v>-228.71</v>
      </c>
      <c r="T342" s="9" t="s">
        <v>29</v>
      </c>
      <c r="U342" s="9"/>
      <c r="V342" s="9"/>
      <c r="W342" s="9"/>
      <c r="X342" s="9"/>
      <c r="Y342" s="9"/>
      <c r="Z342" s="9"/>
      <c r="AA342" s="9"/>
      <c r="AB342" s="9"/>
    </row>
    <row r="343">
      <c r="A343" s="5">
        <v>41979.0</v>
      </c>
      <c r="B343" s="6">
        <v>2014.0</v>
      </c>
      <c r="C343" s="7" t="s">
        <v>20</v>
      </c>
      <c r="D343" s="7" t="s">
        <v>42</v>
      </c>
      <c r="E343" s="7" t="s">
        <v>39</v>
      </c>
      <c r="F343" s="6">
        <v>3765.0</v>
      </c>
      <c r="G343" s="6">
        <v>150370.12</v>
      </c>
      <c r="H343" s="6">
        <v>39.94</v>
      </c>
      <c r="I343" s="8">
        <v>41.16834794156706</v>
      </c>
      <c r="J343" s="6">
        <v>154998.83</v>
      </c>
      <c r="K343" s="6">
        <v>-4628.72</v>
      </c>
      <c r="L343" s="6">
        <v>-3.08</v>
      </c>
      <c r="M343" s="6">
        <f t="shared" si="1"/>
        <v>-1.229407703</v>
      </c>
      <c r="N343" s="6">
        <v>-3.08</v>
      </c>
      <c r="O343" s="7" t="s">
        <v>45</v>
      </c>
      <c r="P343" s="7" t="s">
        <v>46</v>
      </c>
      <c r="Q343" s="7" t="s">
        <v>25</v>
      </c>
      <c r="R343" s="10">
        <v>264.89</v>
      </c>
      <c r="S343" s="10">
        <v>-4893.6</v>
      </c>
      <c r="T343" s="9" t="s">
        <v>29</v>
      </c>
      <c r="U343" s="9"/>
      <c r="V343" s="9"/>
      <c r="W343" s="9"/>
      <c r="X343" s="9"/>
      <c r="Y343" s="9"/>
      <c r="Z343" s="9"/>
      <c r="AA343" s="9"/>
      <c r="AB343" s="9"/>
    </row>
    <row r="344">
      <c r="A344" s="5">
        <v>41980.0</v>
      </c>
      <c r="B344" s="6">
        <v>2014.0</v>
      </c>
      <c r="C344" s="7" t="s">
        <v>20</v>
      </c>
      <c r="D344" s="7" t="s">
        <v>43</v>
      </c>
      <c r="E344" s="7" t="s">
        <v>41</v>
      </c>
      <c r="F344" s="6">
        <v>2712.0</v>
      </c>
      <c r="G344" s="6">
        <v>104675.38</v>
      </c>
      <c r="H344" s="6">
        <v>38.6</v>
      </c>
      <c r="I344" s="8">
        <v>41.262441002949856</v>
      </c>
      <c r="J344" s="6">
        <v>111903.74</v>
      </c>
      <c r="K344" s="6">
        <v>-7228.36</v>
      </c>
      <c r="L344" s="6">
        <v>-6.91</v>
      </c>
      <c r="M344" s="6">
        <f t="shared" si="1"/>
        <v>-2.665324484</v>
      </c>
      <c r="N344" s="6">
        <v>-6.91</v>
      </c>
      <c r="O344" s="7" t="s">
        <v>45</v>
      </c>
      <c r="P344" s="7" t="s">
        <v>46</v>
      </c>
      <c r="Q344" s="7" t="s">
        <v>25</v>
      </c>
      <c r="R344" s="10">
        <v>-4628.72</v>
      </c>
      <c r="S344" s="10">
        <v>-2599.64</v>
      </c>
      <c r="T344" s="9" t="s">
        <v>29</v>
      </c>
      <c r="U344" s="9"/>
      <c r="V344" s="9"/>
      <c r="W344" s="9"/>
      <c r="X344" s="9"/>
      <c r="Y344" s="9"/>
      <c r="Z344" s="9"/>
      <c r="AA344" s="9"/>
      <c r="AB344" s="9"/>
    </row>
    <row r="345">
      <c r="A345" s="5">
        <v>41981.0</v>
      </c>
      <c r="B345" s="6">
        <v>2014.0</v>
      </c>
      <c r="C345" s="7" t="s">
        <v>20</v>
      </c>
      <c r="D345" s="7" t="s">
        <v>44</v>
      </c>
      <c r="E345" s="7" t="s">
        <v>22</v>
      </c>
      <c r="F345" s="6">
        <v>2222.0</v>
      </c>
      <c r="G345" s="6">
        <v>90121.53</v>
      </c>
      <c r="H345" s="6">
        <v>40.56</v>
      </c>
      <c r="I345" s="8">
        <v>40.9908505850585</v>
      </c>
      <c r="J345" s="6">
        <v>91081.67</v>
      </c>
      <c r="K345" s="6">
        <v>-960.14</v>
      </c>
      <c r="L345" s="6">
        <v>-1.07</v>
      </c>
      <c r="M345" s="6">
        <f t="shared" si="1"/>
        <v>-0.4321062106</v>
      </c>
      <c r="N345" s="6">
        <v>-1.07</v>
      </c>
      <c r="O345" s="7" t="s">
        <v>45</v>
      </c>
      <c r="P345" s="7" t="s">
        <v>46</v>
      </c>
      <c r="Q345" s="7" t="s">
        <v>25</v>
      </c>
      <c r="R345" s="10">
        <v>-7228.36</v>
      </c>
      <c r="S345" s="10">
        <v>6268.22</v>
      </c>
      <c r="T345" s="9" t="s">
        <v>33</v>
      </c>
      <c r="U345" s="9"/>
      <c r="V345" s="9"/>
      <c r="W345" s="9"/>
      <c r="X345" s="9"/>
      <c r="Y345" s="9"/>
      <c r="Z345" s="9"/>
      <c r="AA345" s="9"/>
      <c r="AB345" s="9"/>
    </row>
    <row r="346">
      <c r="A346" s="5">
        <v>41982.0</v>
      </c>
      <c r="B346" s="6">
        <v>2014.0</v>
      </c>
      <c r="C346" s="7" t="s">
        <v>20</v>
      </c>
      <c r="D346" s="7" t="s">
        <v>47</v>
      </c>
      <c r="E346" s="7" t="s">
        <v>28</v>
      </c>
      <c r="F346" s="6">
        <v>1861.0</v>
      </c>
      <c r="G346" s="6">
        <v>75425.44</v>
      </c>
      <c r="H346" s="6">
        <v>40.53</v>
      </c>
      <c r="I346" s="8">
        <v>41.38326706072004</v>
      </c>
      <c r="J346" s="6">
        <v>77014.26</v>
      </c>
      <c r="K346" s="6">
        <v>-1588.81</v>
      </c>
      <c r="L346" s="6">
        <v>-2.11</v>
      </c>
      <c r="M346" s="6">
        <f t="shared" si="1"/>
        <v>-0.8537399248</v>
      </c>
      <c r="N346" s="6">
        <v>-2.11</v>
      </c>
      <c r="O346" s="7" t="s">
        <v>45</v>
      </c>
      <c r="P346" s="7" t="s">
        <v>46</v>
      </c>
      <c r="Q346" s="7" t="s">
        <v>25</v>
      </c>
      <c r="R346" s="10">
        <v>-960.14</v>
      </c>
      <c r="S346" s="10">
        <v>-628.67</v>
      </c>
      <c r="T346" s="9" t="s">
        <v>29</v>
      </c>
      <c r="U346" s="9"/>
      <c r="V346" s="9"/>
      <c r="W346" s="9"/>
      <c r="X346" s="9"/>
      <c r="Y346" s="9"/>
      <c r="Z346" s="9"/>
      <c r="AA346" s="9"/>
      <c r="AB346" s="9"/>
    </row>
    <row r="347">
      <c r="A347" s="5">
        <v>41983.0</v>
      </c>
      <c r="B347" s="6">
        <v>2014.0</v>
      </c>
      <c r="C347" s="7" t="s">
        <v>20</v>
      </c>
      <c r="D347" s="7" t="s">
        <v>48</v>
      </c>
      <c r="E347" s="7" t="s">
        <v>32</v>
      </c>
      <c r="F347" s="6">
        <v>4095.0</v>
      </c>
      <c r="G347" s="6">
        <v>161844.81</v>
      </c>
      <c r="H347" s="6">
        <v>39.52</v>
      </c>
      <c r="I347" s="8">
        <v>41.354949938949936</v>
      </c>
      <c r="J347" s="6">
        <v>169348.52</v>
      </c>
      <c r="K347" s="6">
        <v>-7503.71</v>
      </c>
      <c r="L347" s="6">
        <v>-4.64</v>
      </c>
      <c r="M347" s="6">
        <f t="shared" si="1"/>
        <v>-1.832407814</v>
      </c>
      <c r="N347" s="6">
        <v>-4.64</v>
      </c>
      <c r="O347" s="7" t="s">
        <v>45</v>
      </c>
      <c r="P347" s="7" t="s">
        <v>46</v>
      </c>
      <c r="Q347" s="7" t="s">
        <v>25</v>
      </c>
      <c r="R347" s="10">
        <v>-1588.81</v>
      </c>
      <c r="S347" s="10">
        <v>-5914.9</v>
      </c>
      <c r="T347" s="9" t="s">
        <v>29</v>
      </c>
      <c r="U347" s="9"/>
      <c r="V347" s="9"/>
      <c r="W347" s="9"/>
      <c r="X347" s="9"/>
      <c r="Y347" s="9"/>
      <c r="Z347" s="9"/>
      <c r="AA347" s="9"/>
      <c r="AB347" s="9"/>
    </row>
    <row r="348">
      <c r="A348" s="5">
        <v>41984.0</v>
      </c>
      <c r="B348" s="6">
        <v>2014.0</v>
      </c>
      <c r="C348" s="7" t="s">
        <v>20</v>
      </c>
      <c r="D348" s="7" t="s">
        <v>49</v>
      </c>
      <c r="E348" s="7" t="s">
        <v>35</v>
      </c>
      <c r="F348" s="6">
        <v>4157.0</v>
      </c>
      <c r="G348" s="6">
        <v>158603.36</v>
      </c>
      <c r="H348" s="6">
        <v>38.15</v>
      </c>
      <c r="I348" s="8">
        <v>41.30213856146259</v>
      </c>
      <c r="J348" s="6">
        <v>171692.99</v>
      </c>
      <c r="K348" s="6">
        <v>-13089.64</v>
      </c>
      <c r="L348" s="6">
        <v>-8.25</v>
      </c>
      <c r="M348" s="6">
        <f t="shared" si="1"/>
        <v>-3.14881886</v>
      </c>
      <c r="N348" s="6">
        <v>-8.25</v>
      </c>
      <c r="O348" s="7" t="s">
        <v>45</v>
      </c>
      <c r="P348" s="7" t="s">
        <v>46</v>
      </c>
      <c r="Q348" s="7" t="s">
        <v>25</v>
      </c>
      <c r="R348" s="10">
        <v>-7503.71</v>
      </c>
      <c r="S348" s="10">
        <v>-5585.93</v>
      </c>
      <c r="T348" s="9" t="s">
        <v>29</v>
      </c>
      <c r="U348" s="9"/>
      <c r="V348" s="9"/>
      <c r="W348" s="9"/>
      <c r="X348" s="9"/>
      <c r="Y348" s="9"/>
      <c r="Z348" s="9"/>
      <c r="AA348" s="9"/>
      <c r="AB348" s="9"/>
    </row>
    <row r="349">
      <c r="A349" s="5">
        <v>41985.0</v>
      </c>
      <c r="B349" s="6">
        <v>2014.0</v>
      </c>
      <c r="C349" s="7" t="s">
        <v>20</v>
      </c>
      <c r="D349" s="7" t="s">
        <v>50</v>
      </c>
      <c r="E349" s="7" t="s">
        <v>37</v>
      </c>
      <c r="F349" s="6">
        <v>7259.0</v>
      </c>
      <c r="G349" s="6">
        <v>279092.1</v>
      </c>
      <c r="H349" s="6">
        <v>38.45</v>
      </c>
      <c r="I349" s="8">
        <v>41.498293153326905</v>
      </c>
      <c r="J349" s="6">
        <v>301236.11</v>
      </c>
      <c r="K349" s="6">
        <v>-22144.01</v>
      </c>
      <c r="L349" s="6">
        <v>-7.93</v>
      </c>
      <c r="M349" s="6">
        <f t="shared" si="1"/>
        <v>-3.050559306</v>
      </c>
      <c r="N349" s="6">
        <v>-7.93</v>
      </c>
      <c r="O349" s="7" t="s">
        <v>45</v>
      </c>
      <c r="P349" s="7" t="s">
        <v>46</v>
      </c>
      <c r="Q349" s="7" t="s">
        <v>25</v>
      </c>
      <c r="R349" s="10">
        <v>-13089.64</v>
      </c>
      <c r="S349" s="10">
        <v>-9054.38</v>
      </c>
      <c r="T349" s="9" t="s">
        <v>29</v>
      </c>
      <c r="U349" s="9"/>
      <c r="V349" s="9"/>
      <c r="W349" s="9"/>
      <c r="X349" s="9"/>
      <c r="Y349" s="9"/>
      <c r="Z349" s="9"/>
      <c r="AA349" s="9"/>
      <c r="AB349" s="9"/>
    </row>
    <row r="350">
      <c r="A350" s="5">
        <v>41986.0</v>
      </c>
      <c r="B350" s="6">
        <v>2014.0</v>
      </c>
      <c r="C350" s="7" t="s">
        <v>20</v>
      </c>
      <c r="D350" s="7" t="s">
        <v>51</v>
      </c>
      <c r="E350" s="7" t="s">
        <v>39</v>
      </c>
      <c r="F350" s="6">
        <v>9654.0</v>
      </c>
      <c r="G350" s="6">
        <v>369350.99</v>
      </c>
      <c r="H350" s="6">
        <v>38.26</v>
      </c>
      <c r="I350" s="8">
        <v>41.6992624818728</v>
      </c>
      <c r="J350" s="6">
        <v>402564.68</v>
      </c>
      <c r="K350" s="6">
        <v>-33213.69</v>
      </c>
      <c r="L350" s="6">
        <v>-8.99</v>
      </c>
      <c r="M350" s="6">
        <f t="shared" si="1"/>
        <v>-3.440407085</v>
      </c>
      <c r="N350" s="6">
        <v>-8.99</v>
      </c>
      <c r="O350" s="7" t="s">
        <v>45</v>
      </c>
      <c r="P350" s="7" t="s">
        <v>46</v>
      </c>
      <c r="Q350" s="7" t="s">
        <v>25</v>
      </c>
      <c r="R350" s="10">
        <v>-22144.01</v>
      </c>
      <c r="S350" s="10">
        <v>-11069.68</v>
      </c>
      <c r="T350" s="9" t="s">
        <v>29</v>
      </c>
      <c r="U350" s="9"/>
      <c r="V350" s="9"/>
      <c r="W350" s="9"/>
      <c r="X350" s="9"/>
      <c r="Y350" s="9"/>
      <c r="Z350" s="9"/>
      <c r="AA350" s="9"/>
      <c r="AB350" s="9"/>
    </row>
    <row r="351">
      <c r="A351" s="5">
        <v>41987.0</v>
      </c>
      <c r="B351" s="6">
        <v>2014.0</v>
      </c>
      <c r="C351" s="7" t="s">
        <v>20</v>
      </c>
      <c r="D351" s="7" t="s">
        <v>52</v>
      </c>
      <c r="E351" s="7" t="s">
        <v>41</v>
      </c>
      <c r="F351" s="6">
        <v>4632.0</v>
      </c>
      <c r="G351" s="6">
        <v>177500.11</v>
      </c>
      <c r="H351" s="6">
        <v>38.32</v>
      </c>
      <c r="I351" s="8">
        <v>41.52144214162349</v>
      </c>
      <c r="J351" s="6">
        <v>192327.32</v>
      </c>
      <c r="K351" s="6">
        <v>-14827.21</v>
      </c>
      <c r="L351" s="6">
        <v>-8.35</v>
      </c>
      <c r="M351" s="6">
        <f t="shared" si="1"/>
        <v>-3.201038428</v>
      </c>
      <c r="N351" s="6">
        <v>-8.35</v>
      </c>
      <c r="O351" s="7" t="s">
        <v>45</v>
      </c>
      <c r="P351" s="7" t="s">
        <v>46</v>
      </c>
      <c r="Q351" s="7" t="s">
        <v>25</v>
      </c>
      <c r="R351" s="10">
        <v>-33213.69</v>
      </c>
      <c r="S351" s="10">
        <v>18386.48</v>
      </c>
      <c r="T351" s="9" t="s">
        <v>33</v>
      </c>
      <c r="U351" s="9"/>
      <c r="V351" s="9"/>
      <c r="W351" s="9"/>
      <c r="X351" s="9"/>
      <c r="Y351" s="9"/>
      <c r="Z351" s="9"/>
      <c r="AA351" s="9"/>
      <c r="AB351" s="9"/>
    </row>
    <row r="352">
      <c r="A352" s="5">
        <v>41988.0</v>
      </c>
      <c r="B352" s="6">
        <v>2014.0</v>
      </c>
      <c r="C352" s="7" t="s">
        <v>20</v>
      </c>
      <c r="D352" s="7" t="s">
        <v>53</v>
      </c>
      <c r="E352" s="7" t="s">
        <v>22</v>
      </c>
      <c r="F352" s="6">
        <v>7341.0</v>
      </c>
      <c r="G352" s="6">
        <v>282246.63</v>
      </c>
      <c r="H352" s="6">
        <v>38.45</v>
      </c>
      <c r="I352" s="8">
        <v>41.47795123280207</v>
      </c>
      <c r="J352" s="6">
        <v>304489.64</v>
      </c>
      <c r="K352" s="6">
        <v>-22243.01</v>
      </c>
      <c r="L352" s="6">
        <v>-7.88</v>
      </c>
      <c r="M352" s="6">
        <f t="shared" si="1"/>
        <v>-3.029970031</v>
      </c>
      <c r="N352" s="6">
        <v>-7.88</v>
      </c>
      <c r="O352" s="7" t="s">
        <v>45</v>
      </c>
      <c r="P352" s="7" t="s">
        <v>46</v>
      </c>
      <c r="Q352" s="7" t="s">
        <v>25</v>
      </c>
      <c r="R352" s="10">
        <v>-14827.21</v>
      </c>
      <c r="S352" s="10">
        <v>-7415.8</v>
      </c>
      <c r="T352" s="9" t="s">
        <v>29</v>
      </c>
      <c r="U352" s="9"/>
      <c r="V352" s="9"/>
      <c r="W352" s="9"/>
      <c r="X352" s="9"/>
      <c r="Y352" s="9"/>
      <c r="Z352" s="9"/>
      <c r="AA352" s="9"/>
      <c r="AB352" s="9"/>
    </row>
    <row r="353">
      <c r="A353" s="5">
        <v>41989.0</v>
      </c>
      <c r="B353" s="6">
        <v>2014.0</v>
      </c>
      <c r="C353" s="7" t="s">
        <v>20</v>
      </c>
      <c r="D353" s="7" t="s">
        <v>54</v>
      </c>
      <c r="E353" s="7" t="s">
        <v>28</v>
      </c>
      <c r="F353" s="6">
        <v>4308.0</v>
      </c>
      <c r="G353" s="6">
        <v>166037.93</v>
      </c>
      <c r="H353" s="6">
        <v>38.54</v>
      </c>
      <c r="I353" s="8">
        <v>41.68317780872795</v>
      </c>
      <c r="J353" s="6">
        <v>179571.13</v>
      </c>
      <c r="K353" s="6">
        <v>-13533.2</v>
      </c>
      <c r="L353" s="6">
        <v>-8.15</v>
      </c>
      <c r="M353" s="6">
        <f t="shared" si="1"/>
        <v>-3.141411328</v>
      </c>
      <c r="N353" s="6">
        <v>-8.15</v>
      </c>
      <c r="O353" s="7" t="s">
        <v>45</v>
      </c>
      <c r="P353" s="7" t="s">
        <v>46</v>
      </c>
      <c r="Q353" s="7" t="s">
        <v>25</v>
      </c>
      <c r="R353" s="10">
        <v>-22243.01</v>
      </c>
      <c r="S353" s="10">
        <v>8709.81</v>
      </c>
      <c r="T353" s="9" t="s">
        <v>33</v>
      </c>
      <c r="U353" s="9"/>
      <c r="V353" s="9"/>
      <c r="W353" s="9"/>
      <c r="X353" s="9"/>
      <c r="Y353" s="9"/>
      <c r="Z353" s="9"/>
      <c r="AA353" s="9"/>
      <c r="AB353" s="9"/>
    </row>
    <row r="354">
      <c r="A354" s="5">
        <v>41990.0</v>
      </c>
      <c r="B354" s="6">
        <v>2014.0</v>
      </c>
      <c r="C354" s="7" t="s">
        <v>20</v>
      </c>
      <c r="D354" s="7" t="s">
        <v>55</v>
      </c>
      <c r="E354" s="7" t="s">
        <v>32</v>
      </c>
      <c r="F354" s="6">
        <v>3865.0</v>
      </c>
      <c r="G354" s="6">
        <v>148911.0</v>
      </c>
      <c r="H354" s="6">
        <v>38.53</v>
      </c>
      <c r="I354" s="8">
        <v>41.69146701164295</v>
      </c>
      <c r="J354" s="6">
        <v>161137.52</v>
      </c>
      <c r="K354" s="6">
        <v>-12226.52</v>
      </c>
      <c r="L354" s="6">
        <v>-8.21</v>
      </c>
      <c r="M354" s="6">
        <f t="shared" si="1"/>
        <v>-3.163394567</v>
      </c>
      <c r="N354" s="6">
        <v>-8.21</v>
      </c>
      <c r="O354" s="7" t="s">
        <v>45</v>
      </c>
      <c r="P354" s="7" t="s">
        <v>46</v>
      </c>
      <c r="Q354" s="7" t="s">
        <v>25</v>
      </c>
      <c r="R354" s="10">
        <v>-13533.2</v>
      </c>
      <c r="S354" s="10">
        <v>1306.68</v>
      </c>
      <c r="T354" s="9" t="s">
        <v>33</v>
      </c>
      <c r="U354" s="9"/>
      <c r="V354" s="9"/>
      <c r="W354" s="9"/>
      <c r="X354" s="9"/>
      <c r="Y354" s="9"/>
      <c r="Z354" s="9"/>
      <c r="AA354" s="9"/>
      <c r="AB354" s="9"/>
    </row>
    <row r="355">
      <c r="A355" s="5">
        <v>41991.0</v>
      </c>
      <c r="B355" s="6">
        <v>2014.0</v>
      </c>
      <c r="C355" s="7" t="s">
        <v>20</v>
      </c>
      <c r="D355" s="7" t="s">
        <v>56</v>
      </c>
      <c r="E355" s="7" t="s">
        <v>35</v>
      </c>
      <c r="F355" s="6">
        <v>5288.0</v>
      </c>
      <c r="G355" s="6">
        <v>202359.14</v>
      </c>
      <c r="H355" s="6">
        <v>38.27</v>
      </c>
      <c r="I355" s="8">
        <v>41.87514561270802</v>
      </c>
      <c r="J355" s="6">
        <v>221435.77</v>
      </c>
      <c r="K355" s="6">
        <v>-19076.63</v>
      </c>
      <c r="L355" s="6">
        <v>-9.43</v>
      </c>
      <c r="M355" s="6">
        <f t="shared" si="1"/>
        <v>-3.607532148</v>
      </c>
      <c r="N355" s="6">
        <v>-9.43</v>
      </c>
      <c r="O355" s="7" t="s">
        <v>45</v>
      </c>
      <c r="P355" s="7" t="s">
        <v>46</v>
      </c>
      <c r="Q355" s="7" t="s">
        <v>25</v>
      </c>
      <c r="R355" s="10">
        <v>-12226.52</v>
      </c>
      <c r="S355" s="10">
        <v>-6850.1</v>
      </c>
      <c r="T355" s="9" t="s">
        <v>29</v>
      </c>
      <c r="U355" s="9"/>
      <c r="V355" s="9"/>
      <c r="W355" s="9"/>
      <c r="X355" s="9"/>
      <c r="Y355" s="9"/>
      <c r="Z355" s="9"/>
      <c r="AA355" s="9"/>
      <c r="AB355" s="9"/>
    </row>
    <row r="356">
      <c r="A356" s="5">
        <v>41992.0</v>
      </c>
      <c r="B356" s="6">
        <v>2014.0</v>
      </c>
      <c r="C356" s="7" t="s">
        <v>20</v>
      </c>
      <c r="D356" s="7" t="s">
        <v>57</v>
      </c>
      <c r="E356" s="7" t="s">
        <v>37</v>
      </c>
      <c r="F356" s="6">
        <v>7141.0</v>
      </c>
      <c r="G356" s="6">
        <v>274343.65</v>
      </c>
      <c r="H356" s="6">
        <v>38.42</v>
      </c>
      <c r="I356" s="8">
        <v>41.943262848340574</v>
      </c>
      <c r="J356" s="6">
        <v>299516.84</v>
      </c>
      <c r="K356" s="6">
        <v>-25173.18</v>
      </c>
      <c r="L356" s="6">
        <v>-9.18</v>
      </c>
      <c r="M356" s="6">
        <f t="shared" si="1"/>
        <v>-3.525161742</v>
      </c>
      <c r="N356" s="6">
        <v>-9.18</v>
      </c>
      <c r="O356" s="7" t="s">
        <v>45</v>
      </c>
      <c r="P356" s="7" t="s">
        <v>46</v>
      </c>
      <c r="Q356" s="7" t="s">
        <v>25</v>
      </c>
      <c r="R356" s="10">
        <v>-19076.63</v>
      </c>
      <c r="S356" s="10">
        <v>-6096.56</v>
      </c>
      <c r="T356" s="9" t="s">
        <v>29</v>
      </c>
      <c r="U356" s="9"/>
      <c r="V356" s="9"/>
      <c r="W356" s="9"/>
      <c r="X356" s="9"/>
      <c r="Y356" s="9"/>
      <c r="Z356" s="9"/>
      <c r="AA356" s="9"/>
      <c r="AB356" s="9"/>
    </row>
    <row r="357">
      <c r="A357" s="5">
        <v>41993.0</v>
      </c>
      <c r="B357" s="6">
        <v>2014.0</v>
      </c>
      <c r="C357" s="7" t="s">
        <v>20</v>
      </c>
      <c r="D357" s="7" t="s">
        <v>58</v>
      </c>
      <c r="E357" s="7" t="s">
        <v>39</v>
      </c>
      <c r="F357" s="6">
        <v>8268.0</v>
      </c>
      <c r="G357" s="6">
        <v>316167.07</v>
      </c>
      <c r="H357" s="6">
        <v>38.24</v>
      </c>
      <c r="I357" s="8">
        <v>41.89384373488147</v>
      </c>
      <c r="J357" s="6">
        <v>346378.3</v>
      </c>
      <c r="K357" s="6">
        <v>-30211.23</v>
      </c>
      <c r="L357" s="6">
        <v>-9.56</v>
      </c>
      <c r="M357" s="6">
        <f t="shared" si="1"/>
        <v>-3.65399492</v>
      </c>
      <c r="N357" s="6">
        <v>-9.56</v>
      </c>
      <c r="O357" s="7" t="s">
        <v>45</v>
      </c>
      <c r="P357" s="7" t="s">
        <v>46</v>
      </c>
      <c r="Q357" s="7" t="s">
        <v>25</v>
      </c>
      <c r="R357" s="10">
        <v>-25173.18</v>
      </c>
      <c r="S357" s="10">
        <v>-5038.05</v>
      </c>
      <c r="T357" s="9" t="s">
        <v>29</v>
      </c>
      <c r="U357" s="9"/>
      <c r="V357" s="9"/>
      <c r="W357" s="9"/>
      <c r="X357" s="9"/>
      <c r="Y357" s="9"/>
      <c r="Z357" s="9"/>
      <c r="AA357" s="9"/>
      <c r="AB357" s="9"/>
    </row>
    <row r="358">
      <c r="A358" s="5">
        <v>41994.0</v>
      </c>
      <c r="B358" s="6">
        <v>2014.0</v>
      </c>
      <c r="C358" s="7" t="s">
        <v>20</v>
      </c>
      <c r="D358" s="7" t="s">
        <v>59</v>
      </c>
      <c r="E358" s="7" t="s">
        <v>41</v>
      </c>
      <c r="F358" s="6">
        <v>4541.0</v>
      </c>
      <c r="G358" s="6">
        <v>173833.4</v>
      </c>
      <c r="H358" s="6">
        <v>38.28</v>
      </c>
      <c r="I358" s="8">
        <v>41.98293327460912</v>
      </c>
      <c r="J358" s="6">
        <v>190644.5</v>
      </c>
      <c r="K358" s="6">
        <v>-16811.1</v>
      </c>
      <c r="L358" s="6">
        <v>-9.67</v>
      </c>
      <c r="M358" s="6">
        <f t="shared" si="1"/>
        <v>-3.702070029</v>
      </c>
      <c r="N358" s="6">
        <v>-9.67</v>
      </c>
      <c r="O358" s="7" t="s">
        <v>45</v>
      </c>
      <c r="P358" s="7" t="s">
        <v>46</v>
      </c>
      <c r="Q358" s="7" t="s">
        <v>25</v>
      </c>
      <c r="R358" s="10">
        <v>-30211.23</v>
      </c>
      <c r="S358" s="10">
        <v>13400.13</v>
      </c>
      <c r="T358" s="9" t="s">
        <v>33</v>
      </c>
      <c r="U358" s="9"/>
      <c r="V358" s="9"/>
      <c r="W358" s="9"/>
      <c r="X358" s="9"/>
      <c r="Y358" s="9"/>
      <c r="Z358" s="9"/>
      <c r="AA358" s="9"/>
      <c r="AB358" s="9"/>
    </row>
    <row r="359">
      <c r="A359" s="5">
        <v>41995.0</v>
      </c>
      <c r="B359" s="6">
        <v>2014.0</v>
      </c>
      <c r="C359" s="7" t="s">
        <v>20</v>
      </c>
      <c r="D359" s="7" t="s">
        <v>60</v>
      </c>
      <c r="E359" s="7" t="s">
        <v>22</v>
      </c>
      <c r="F359" s="6">
        <v>5014.0</v>
      </c>
      <c r="G359" s="6">
        <v>204565.08</v>
      </c>
      <c r="H359" s="6">
        <v>40.8</v>
      </c>
      <c r="I359" s="8">
        <v>41.920404866374156</v>
      </c>
      <c r="J359" s="6">
        <v>210188.91</v>
      </c>
      <c r="K359" s="6">
        <v>-5623.83</v>
      </c>
      <c r="L359" s="6">
        <v>-2.75</v>
      </c>
      <c r="M359" s="6">
        <f t="shared" si="1"/>
        <v>-1.121625449</v>
      </c>
      <c r="N359" s="6">
        <v>-2.75</v>
      </c>
      <c r="O359" s="7" t="s">
        <v>45</v>
      </c>
      <c r="P359" s="7" t="s">
        <v>46</v>
      </c>
      <c r="Q359" s="7" t="s">
        <v>25</v>
      </c>
      <c r="R359" s="10">
        <v>-16811.1</v>
      </c>
      <c r="S359" s="10">
        <v>11187.27</v>
      </c>
      <c r="T359" s="9" t="s">
        <v>33</v>
      </c>
      <c r="U359" s="9"/>
      <c r="V359" s="9"/>
      <c r="W359" s="9"/>
      <c r="X359" s="9"/>
      <c r="Y359" s="9"/>
      <c r="Z359" s="9"/>
      <c r="AA359" s="9"/>
      <c r="AB359" s="9"/>
    </row>
    <row r="360">
      <c r="A360" s="5">
        <v>41996.0</v>
      </c>
      <c r="B360" s="6">
        <v>2014.0</v>
      </c>
      <c r="C360" s="7" t="s">
        <v>20</v>
      </c>
      <c r="D360" s="7" t="s">
        <v>61</v>
      </c>
      <c r="E360" s="7" t="s">
        <v>28</v>
      </c>
      <c r="F360" s="6">
        <v>7778.0</v>
      </c>
      <c r="G360" s="6">
        <v>316394.73</v>
      </c>
      <c r="H360" s="6">
        <v>40.68</v>
      </c>
      <c r="I360" s="8">
        <v>41.99371817948059</v>
      </c>
      <c r="J360" s="6">
        <v>326627.14</v>
      </c>
      <c r="K360" s="6">
        <v>-10232.41</v>
      </c>
      <c r="L360" s="6">
        <v>-3.23</v>
      </c>
      <c r="M360" s="6">
        <f t="shared" si="1"/>
        <v>-1.315557984</v>
      </c>
      <c r="N360" s="6">
        <v>-3.23</v>
      </c>
      <c r="O360" s="7" t="s">
        <v>45</v>
      </c>
      <c r="P360" s="7" t="s">
        <v>46</v>
      </c>
      <c r="Q360" s="7" t="s">
        <v>25</v>
      </c>
      <c r="R360" s="10">
        <v>-5623.83</v>
      </c>
      <c r="S360" s="10">
        <v>-4608.58</v>
      </c>
      <c r="T360" s="9" t="s">
        <v>29</v>
      </c>
      <c r="U360" s="9"/>
      <c r="V360" s="9"/>
      <c r="W360" s="9"/>
      <c r="X360" s="9"/>
      <c r="Y360" s="9"/>
      <c r="Z360" s="9"/>
      <c r="AA360" s="9"/>
      <c r="AB360" s="9"/>
    </row>
    <row r="361">
      <c r="A361" s="5">
        <v>41997.0</v>
      </c>
      <c r="B361" s="6">
        <v>2014.0</v>
      </c>
      <c r="C361" s="7" t="s">
        <v>20</v>
      </c>
      <c r="D361" s="7" t="s">
        <v>62</v>
      </c>
      <c r="E361" s="7" t="s">
        <v>32</v>
      </c>
      <c r="F361" s="6">
        <v>11809.0</v>
      </c>
      <c r="G361" s="6">
        <v>486230.32</v>
      </c>
      <c r="H361" s="6">
        <v>41.17</v>
      </c>
      <c r="I361" s="8">
        <v>41.994164620204934</v>
      </c>
      <c r="J361" s="6">
        <v>495909.09</v>
      </c>
      <c r="K361" s="6">
        <v>-9678.77</v>
      </c>
      <c r="L361" s="6">
        <v>-1.99</v>
      </c>
      <c r="M361" s="6">
        <f t="shared" si="1"/>
        <v>-0.8196096198</v>
      </c>
      <c r="N361" s="6">
        <v>-1.99</v>
      </c>
      <c r="O361" s="7" t="s">
        <v>45</v>
      </c>
      <c r="P361" s="7" t="s">
        <v>46</v>
      </c>
      <c r="Q361" s="7" t="s">
        <v>25</v>
      </c>
      <c r="R361" s="10">
        <v>-10232.41</v>
      </c>
      <c r="S361" s="10">
        <v>553.64</v>
      </c>
      <c r="T361" s="9" t="s">
        <v>33</v>
      </c>
      <c r="U361" s="9"/>
      <c r="V361" s="9"/>
      <c r="W361" s="9"/>
      <c r="X361" s="9"/>
      <c r="Y361" s="9"/>
      <c r="Z361" s="9"/>
      <c r="AA361" s="9"/>
      <c r="AB361" s="9"/>
    </row>
    <row r="362">
      <c r="A362" s="5">
        <v>41998.0</v>
      </c>
      <c r="B362" s="6">
        <v>2014.0</v>
      </c>
      <c r="C362" s="7" t="s">
        <v>20</v>
      </c>
      <c r="D362" s="7" t="s">
        <v>63</v>
      </c>
      <c r="E362" s="7" t="s">
        <v>35</v>
      </c>
      <c r="F362" s="6">
        <v>3344.0</v>
      </c>
      <c r="G362" s="6">
        <v>137686.53</v>
      </c>
      <c r="H362" s="6">
        <v>41.17</v>
      </c>
      <c r="I362" s="8">
        <v>42.023262559808614</v>
      </c>
      <c r="J362" s="6">
        <v>140525.79</v>
      </c>
      <c r="K362" s="6">
        <v>-2839.25</v>
      </c>
      <c r="L362" s="6">
        <v>-2.06</v>
      </c>
      <c r="M362" s="6">
        <f t="shared" si="1"/>
        <v>-0.8490580144</v>
      </c>
      <c r="N362" s="6">
        <v>-2.06</v>
      </c>
      <c r="O362" s="7" t="s">
        <v>45</v>
      </c>
      <c r="P362" s="7" t="s">
        <v>46</v>
      </c>
      <c r="Q362" s="7" t="s">
        <v>25</v>
      </c>
      <c r="R362" s="10">
        <v>-9678.77</v>
      </c>
      <c r="S362" s="10">
        <v>6839.51</v>
      </c>
      <c r="T362" s="9" t="s">
        <v>33</v>
      </c>
      <c r="U362" s="9"/>
      <c r="V362" s="9"/>
      <c r="W362" s="9"/>
      <c r="X362" s="9"/>
      <c r="Y362" s="9"/>
      <c r="Z362" s="9"/>
      <c r="AA362" s="9"/>
      <c r="AB362" s="9"/>
    </row>
    <row r="363">
      <c r="A363" s="5">
        <v>41999.0</v>
      </c>
      <c r="B363" s="6">
        <v>2014.0</v>
      </c>
      <c r="C363" s="7" t="s">
        <v>20</v>
      </c>
      <c r="D363" s="7" t="s">
        <v>64</v>
      </c>
      <c r="E363" s="7" t="s">
        <v>37</v>
      </c>
      <c r="F363" s="6">
        <v>1169.0</v>
      </c>
      <c r="G363" s="6">
        <v>48102.96</v>
      </c>
      <c r="H363" s="6">
        <v>41.15</v>
      </c>
      <c r="I363" s="8">
        <v>41.94043627031651</v>
      </c>
      <c r="J363" s="6">
        <v>49028.37</v>
      </c>
      <c r="K363" s="6">
        <v>-925.4</v>
      </c>
      <c r="L363" s="6">
        <v>-1.92</v>
      </c>
      <c r="M363" s="6">
        <f t="shared" si="1"/>
        <v>-0.7916167665</v>
      </c>
      <c r="N363" s="6">
        <v>-1.92</v>
      </c>
      <c r="O363" s="7" t="s">
        <v>45</v>
      </c>
      <c r="P363" s="7" t="s">
        <v>46</v>
      </c>
      <c r="Q363" s="7" t="s">
        <v>25</v>
      </c>
      <c r="R363" s="10">
        <v>-2839.25</v>
      </c>
      <c r="S363" s="10">
        <v>1913.85</v>
      </c>
      <c r="T363" s="9" t="s">
        <v>33</v>
      </c>
      <c r="U363" s="9"/>
      <c r="V363" s="9"/>
      <c r="W363" s="9"/>
      <c r="X363" s="9"/>
      <c r="Y363" s="9"/>
      <c r="Z363" s="9"/>
      <c r="AA363" s="9"/>
      <c r="AB363" s="9"/>
    </row>
    <row r="364">
      <c r="A364" s="5">
        <v>42000.0</v>
      </c>
      <c r="B364" s="6">
        <v>2014.0</v>
      </c>
      <c r="C364" s="7" t="s">
        <v>20</v>
      </c>
      <c r="D364" s="7" t="s">
        <v>65</v>
      </c>
      <c r="E364" s="7" t="s">
        <v>39</v>
      </c>
      <c r="F364" s="6">
        <v>2676.0</v>
      </c>
      <c r="G364" s="6">
        <v>110162.13</v>
      </c>
      <c r="H364" s="6">
        <v>41.17</v>
      </c>
      <c r="I364" s="8">
        <v>41.99684603886398</v>
      </c>
      <c r="J364" s="6">
        <v>112383.56</v>
      </c>
      <c r="K364" s="6">
        <v>-2221.43</v>
      </c>
      <c r="L364" s="6">
        <v>-2.02</v>
      </c>
      <c r="M364" s="6">
        <f t="shared" si="1"/>
        <v>-0.8301307922</v>
      </c>
      <c r="N364" s="6">
        <v>-2.02</v>
      </c>
      <c r="O364" s="7" t="s">
        <v>45</v>
      </c>
      <c r="P364" s="7" t="s">
        <v>46</v>
      </c>
      <c r="Q364" s="7" t="s">
        <v>25</v>
      </c>
      <c r="R364" s="10">
        <v>-925.4</v>
      </c>
      <c r="S364" s="10">
        <v>-1296.02</v>
      </c>
      <c r="T364" s="9" t="s">
        <v>29</v>
      </c>
      <c r="U364" s="9"/>
      <c r="V364" s="9"/>
      <c r="W364" s="9"/>
      <c r="X364" s="9"/>
      <c r="Y364" s="9"/>
      <c r="Z364" s="9"/>
      <c r="AA364" s="9"/>
      <c r="AB364" s="9"/>
    </row>
    <row r="365">
      <c r="A365" s="5">
        <v>42001.0</v>
      </c>
      <c r="B365" s="6">
        <v>2014.0</v>
      </c>
      <c r="C365" s="7" t="s">
        <v>20</v>
      </c>
      <c r="D365" s="7" t="s">
        <v>66</v>
      </c>
      <c r="E365" s="7" t="s">
        <v>41</v>
      </c>
      <c r="F365" s="6">
        <v>1677.0</v>
      </c>
      <c r="G365" s="6">
        <v>69051.34</v>
      </c>
      <c r="H365" s="6">
        <v>41.18</v>
      </c>
      <c r="I365" s="8">
        <v>42.0290518783542</v>
      </c>
      <c r="J365" s="6">
        <v>70482.72</v>
      </c>
      <c r="K365" s="6">
        <v>-1431.38</v>
      </c>
      <c r="L365" s="6">
        <v>-2.07</v>
      </c>
      <c r="M365" s="6">
        <f t="shared" si="1"/>
        <v>-0.8535360763</v>
      </c>
      <c r="N365" s="6">
        <v>-2.07</v>
      </c>
      <c r="O365" s="7" t="s">
        <v>45</v>
      </c>
      <c r="P365" s="7" t="s">
        <v>46</v>
      </c>
      <c r="Q365" s="7" t="s">
        <v>25</v>
      </c>
      <c r="R365" s="10">
        <v>-2221.43</v>
      </c>
      <c r="S365" s="10">
        <v>790.05</v>
      </c>
      <c r="T365" s="9" t="s">
        <v>33</v>
      </c>
      <c r="U365" s="9"/>
      <c r="V365" s="9"/>
      <c r="W365" s="9"/>
      <c r="X365" s="9"/>
      <c r="Y365" s="9"/>
      <c r="Z365" s="9"/>
      <c r="AA365" s="9"/>
      <c r="AB365" s="9"/>
    </row>
    <row r="366">
      <c r="A366" s="5">
        <v>42002.0</v>
      </c>
      <c r="B366" s="6">
        <v>2014.0</v>
      </c>
      <c r="C366" s="7" t="s">
        <v>20</v>
      </c>
      <c r="D366" s="7" t="s">
        <v>67</v>
      </c>
      <c r="E366" s="7" t="s">
        <v>22</v>
      </c>
      <c r="F366" s="6">
        <v>3237.0</v>
      </c>
      <c r="G366" s="6">
        <v>133307.37</v>
      </c>
      <c r="H366" s="6">
        <v>41.18</v>
      </c>
      <c r="I366" s="8">
        <v>42.015285758418294</v>
      </c>
      <c r="J366" s="6">
        <v>136003.48</v>
      </c>
      <c r="K366" s="6">
        <v>-2696.11</v>
      </c>
      <c r="L366" s="6">
        <v>-2.02</v>
      </c>
      <c r="M366" s="6">
        <f t="shared" si="1"/>
        <v>-0.8329039234</v>
      </c>
      <c r="N366" s="6">
        <v>-2.02</v>
      </c>
      <c r="O366" s="7" t="s">
        <v>45</v>
      </c>
      <c r="P366" s="7" t="s">
        <v>46</v>
      </c>
      <c r="Q366" s="7" t="s">
        <v>25</v>
      </c>
      <c r="R366" s="10">
        <v>-1431.38</v>
      </c>
      <c r="S366" s="10">
        <v>-1264.73</v>
      </c>
      <c r="T366" s="9" t="s">
        <v>29</v>
      </c>
      <c r="U366" s="9"/>
      <c r="V366" s="9"/>
      <c r="W366" s="9"/>
      <c r="X366" s="9"/>
      <c r="Y366" s="9"/>
      <c r="Z366" s="9"/>
      <c r="AA366" s="9"/>
      <c r="AB366" s="9"/>
    </row>
    <row r="367">
      <c r="A367" s="5">
        <v>42003.0</v>
      </c>
      <c r="B367" s="6">
        <v>2014.0</v>
      </c>
      <c r="C367" s="7" t="s">
        <v>20</v>
      </c>
      <c r="D367" s="7" t="s">
        <v>21</v>
      </c>
      <c r="E367" s="7" t="s">
        <v>28</v>
      </c>
      <c r="F367" s="6">
        <v>5607.0</v>
      </c>
      <c r="G367" s="6">
        <v>216389.5</v>
      </c>
      <c r="H367" s="6">
        <v>38.59</v>
      </c>
      <c r="I367" s="8">
        <v>42.0409773497414</v>
      </c>
      <c r="J367" s="6">
        <v>235723.76</v>
      </c>
      <c r="K367" s="6">
        <v>-19334.26</v>
      </c>
      <c r="L367" s="6">
        <v>-8.93</v>
      </c>
      <c r="M367" s="6">
        <f t="shared" si="1"/>
        <v>-3.448236133</v>
      </c>
      <c r="N367" s="6">
        <v>-8.93</v>
      </c>
      <c r="O367" s="7" t="s">
        <v>45</v>
      </c>
      <c r="P367" s="7" t="s">
        <v>46</v>
      </c>
      <c r="Q367" s="7" t="s">
        <v>25</v>
      </c>
      <c r="R367" s="10">
        <v>-2696.11</v>
      </c>
      <c r="S367" s="10">
        <v>-16638.15</v>
      </c>
      <c r="T367" s="9" t="s">
        <v>29</v>
      </c>
      <c r="U367" s="9"/>
      <c r="V367" s="9"/>
      <c r="W367" s="9"/>
      <c r="X367" s="9"/>
      <c r="Y367" s="9"/>
      <c r="Z367" s="9"/>
      <c r="AA367" s="9"/>
      <c r="AB367" s="9"/>
    </row>
    <row r="368">
      <c r="A368" s="5">
        <v>42004.0</v>
      </c>
      <c r="B368" s="6">
        <v>2014.0</v>
      </c>
      <c r="C368" s="7" t="s">
        <v>20</v>
      </c>
      <c r="D368" s="7" t="s">
        <v>27</v>
      </c>
      <c r="E368" s="7" t="s">
        <v>32</v>
      </c>
      <c r="F368" s="6">
        <v>9464.0</v>
      </c>
      <c r="G368" s="6">
        <v>365055.31</v>
      </c>
      <c r="H368" s="6">
        <v>38.57</v>
      </c>
      <c r="I368" s="8">
        <v>42.05551035502958</v>
      </c>
      <c r="J368" s="6">
        <v>398013.35</v>
      </c>
      <c r="K368" s="6">
        <v>-32958.04</v>
      </c>
      <c r="L368" s="6">
        <v>-9.03</v>
      </c>
      <c r="M368" s="6">
        <f t="shared" si="1"/>
        <v>-3.482464074</v>
      </c>
      <c r="N368" s="6">
        <v>-9.03</v>
      </c>
      <c r="O368" s="7" t="s">
        <v>45</v>
      </c>
      <c r="P368" s="7" t="s">
        <v>46</v>
      </c>
      <c r="Q368" s="7" t="s">
        <v>25</v>
      </c>
      <c r="R368" s="10">
        <v>-19334.26</v>
      </c>
      <c r="S368" s="10">
        <v>-13623.78</v>
      </c>
      <c r="T368" s="9" t="s">
        <v>29</v>
      </c>
      <c r="U368" s="9"/>
      <c r="V368" s="9"/>
      <c r="W368" s="9"/>
      <c r="X368" s="9"/>
      <c r="Y368" s="9"/>
      <c r="Z368" s="9"/>
      <c r="AA368" s="9"/>
      <c r="AB368" s="9"/>
    </row>
    <row r="369">
      <c r="A369" s="5">
        <v>42005.0</v>
      </c>
      <c r="B369" s="6">
        <v>2015.0</v>
      </c>
      <c r="C369" s="7" t="s">
        <v>30</v>
      </c>
      <c r="D369" s="7" t="s">
        <v>31</v>
      </c>
      <c r="E369" s="7" t="s">
        <v>35</v>
      </c>
      <c r="F369" s="6">
        <v>2905.0</v>
      </c>
      <c r="G369" s="6">
        <v>112161.42</v>
      </c>
      <c r="H369" s="6">
        <v>38.61</v>
      </c>
      <c r="I369" s="8">
        <v>42.055225473321855</v>
      </c>
      <c r="J369" s="6">
        <v>122170.43</v>
      </c>
      <c r="K369" s="6">
        <v>-10009.01</v>
      </c>
      <c r="L369" s="6">
        <v>-8.92</v>
      </c>
      <c r="M369" s="6">
        <f t="shared" si="1"/>
        <v>-3.445442341</v>
      </c>
      <c r="N369" s="6">
        <v>-8.92</v>
      </c>
      <c r="O369" s="7" t="s">
        <v>45</v>
      </c>
      <c r="P369" s="7" t="s">
        <v>46</v>
      </c>
      <c r="Q369" s="7" t="s">
        <v>25</v>
      </c>
      <c r="R369" s="10">
        <v>-32958.04</v>
      </c>
      <c r="S369" s="10">
        <v>22949.02</v>
      </c>
      <c r="T369" s="9" t="s">
        <v>33</v>
      </c>
      <c r="U369" s="9"/>
      <c r="V369" s="9"/>
      <c r="W369" s="9"/>
      <c r="X369" s="9"/>
      <c r="Y369" s="9"/>
      <c r="Z369" s="9"/>
      <c r="AA369" s="9"/>
      <c r="AB369" s="9"/>
    </row>
    <row r="370">
      <c r="A370" s="5">
        <v>42006.0</v>
      </c>
      <c r="B370" s="6">
        <v>2015.0</v>
      </c>
      <c r="C370" s="7" t="s">
        <v>30</v>
      </c>
      <c r="D370" s="7" t="s">
        <v>34</v>
      </c>
      <c r="E370" s="7" t="s">
        <v>37</v>
      </c>
      <c r="F370" s="6">
        <v>7023.0</v>
      </c>
      <c r="G370" s="6">
        <v>271101.46</v>
      </c>
      <c r="H370" s="6">
        <v>38.6</v>
      </c>
      <c r="I370" s="8">
        <v>42.00761355546062</v>
      </c>
      <c r="J370" s="6">
        <v>295019.47</v>
      </c>
      <c r="K370" s="6">
        <v>-23918.01</v>
      </c>
      <c r="L370" s="6">
        <v>-8.82</v>
      </c>
      <c r="M370" s="6">
        <f t="shared" si="1"/>
        <v>-3.405668518</v>
      </c>
      <c r="N370" s="6">
        <v>-8.82</v>
      </c>
      <c r="O370" s="7" t="s">
        <v>45</v>
      </c>
      <c r="P370" s="7" t="s">
        <v>46</v>
      </c>
      <c r="Q370" s="7" t="s">
        <v>25</v>
      </c>
      <c r="R370" s="10">
        <v>-10009.01</v>
      </c>
      <c r="S370" s="10">
        <v>-13909.0</v>
      </c>
      <c r="T370" s="9" t="s">
        <v>29</v>
      </c>
      <c r="U370" s="9"/>
      <c r="V370" s="9"/>
      <c r="W370" s="9"/>
      <c r="X370" s="9"/>
      <c r="Y370" s="9"/>
      <c r="Z370" s="9"/>
      <c r="AA370" s="9"/>
      <c r="AB370" s="9"/>
    </row>
    <row r="371">
      <c r="A371" s="5">
        <v>42007.0</v>
      </c>
      <c r="B371" s="6">
        <v>2015.0</v>
      </c>
      <c r="C371" s="7" t="s">
        <v>30</v>
      </c>
      <c r="D371" s="7" t="s">
        <v>36</v>
      </c>
      <c r="E371" s="7" t="s">
        <v>39</v>
      </c>
      <c r="F371" s="6">
        <v>6371.0</v>
      </c>
      <c r="G371" s="6">
        <v>245813.29</v>
      </c>
      <c r="H371" s="6">
        <v>38.58</v>
      </c>
      <c r="I371" s="8">
        <v>42.02397268874588</v>
      </c>
      <c r="J371" s="6">
        <v>267734.73</v>
      </c>
      <c r="K371" s="6">
        <v>-21921.44</v>
      </c>
      <c r="L371" s="6">
        <v>-8.92</v>
      </c>
      <c r="M371" s="6">
        <f t="shared" si="1"/>
        <v>-3.440816198</v>
      </c>
      <c r="N371" s="6">
        <v>-8.92</v>
      </c>
      <c r="O371" s="7" t="s">
        <v>45</v>
      </c>
      <c r="P371" s="7" t="s">
        <v>46</v>
      </c>
      <c r="Q371" s="7" t="s">
        <v>25</v>
      </c>
      <c r="R371" s="10">
        <v>-23918.01</v>
      </c>
      <c r="S371" s="10">
        <v>1996.57</v>
      </c>
      <c r="T371" s="9" t="s">
        <v>33</v>
      </c>
      <c r="U371" s="9"/>
      <c r="V371" s="9"/>
      <c r="W371" s="9"/>
      <c r="X371" s="9"/>
      <c r="Y371" s="9"/>
      <c r="Z371" s="9"/>
      <c r="AA371" s="9"/>
      <c r="AB371" s="9"/>
    </row>
    <row r="372">
      <c r="A372" s="5">
        <v>42008.0</v>
      </c>
      <c r="B372" s="6">
        <v>2015.0</v>
      </c>
      <c r="C372" s="7" t="s">
        <v>30</v>
      </c>
      <c r="D372" s="7" t="s">
        <v>38</v>
      </c>
      <c r="E372" s="7" t="s">
        <v>41</v>
      </c>
      <c r="F372" s="6">
        <v>4624.0</v>
      </c>
      <c r="G372" s="6">
        <v>178394.81</v>
      </c>
      <c r="H372" s="6">
        <v>38.58</v>
      </c>
      <c r="I372" s="8">
        <v>42.04745891003461</v>
      </c>
      <c r="J372" s="6">
        <v>194427.45</v>
      </c>
      <c r="K372" s="6">
        <v>-16032.64</v>
      </c>
      <c r="L372" s="6">
        <v>-8.99</v>
      </c>
      <c r="M372" s="6">
        <f t="shared" si="1"/>
        <v>-3.467266436</v>
      </c>
      <c r="N372" s="6">
        <v>-8.99</v>
      </c>
      <c r="O372" s="7" t="s">
        <v>45</v>
      </c>
      <c r="P372" s="7" t="s">
        <v>46</v>
      </c>
      <c r="Q372" s="7" t="s">
        <v>25</v>
      </c>
      <c r="R372" s="10">
        <v>-21921.44</v>
      </c>
      <c r="S372" s="10">
        <v>5888.8</v>
      </c>
      <c r="T372" s="9" t="s">
        <v>33</v>
      </c>
      <c r="U372" s="9"/>
      <c r="V372" s="9"/>
      <c r="W372" s="9"/>
      <c r="X372" s="9"/>
      <c r="Y372" s="9"/>
      <c r="Z372" s="9"/>
      <c r="AA372" s="9"/>
      <c r="AB372" s="9"/>
    </row>
    <row r="373">
      <c r="A373" s="5">
        <v>42009.0</v>
      </c>
      <c r="B373" s="6">
        <v>2015.0</v>
      </c>
      <c r="C373" s="7" t="s">
        <v>30</v>
      </c>
      <c r="D373" s="7" t="s">
        <v>40</v>
      </c>
      <c r="E373" s="7" t="s">
        <v>22</v>
      </c>
      <c r="F373" s="6">
        <v>5717.0</v>
      </c>
      <c r="G373" s="6">
        <v>220443.63</v>
      </c>
      <c r="H373" s="6">
        <v>38.56</v>
      </c>
      <c r="I373" s="8">
        <v>41.977965716284764</v>
      </c>
      <c r="J373" s="6">
        <v>239988.03</v>
      </c>
      <c r="K373" s="6">
        <v>-19544.4</v>
      </c>
      <c r="L373" s="6">
        <v>-8.87</v>
      </c>
      <c r="M373" s="6">
        <f t="shared" si="1"/>
        <v>-3.418646143</v>
      </c>
      <c r="N373" s="6">
        <v>-8.87</v>
      </c>
      <c r="O373" s="7" t="s">
        <v>45</v>
      </c>
      <c r="P373" s="7" t="s">
        <v>46</v>
      </c>
      <c r="Q373" s="7" t="s">
        <v>25</v>
      </c>
      <c r="R373" s="10">
        <v>-16032.64</v>
      </c>
      <c r="S373" s="10">
        <v>-3511.76</v>
      </c>
      <c r="T373" s="9" t="s">
        <v>29</v>
      </c>
      <c r="U373" s="9"/>
      <c r="V373" s="9"/>
      <c r="W373" s="9"/>
      <c r="X373" s="9"/>
      <c r="Y373" s="9"/>
      <c r="Z373" s="9"/>
      <c r="AA373" s="9"/>
      <c r="AB373" s="9"/>
    </row>
    <row r="374">
      <c r="A374" s="5">
        <v>42010.0</v>
      </c>
      <c r="B374" s="6">
        <v>2015.0</v>
      </c>
      <c r="C374" s="7" t="s">
        <v>30</v>
      </c>
      <c r="D374" s="7" t="s">
        <v>42</v>
      </c>
      <c r="E374" s="7" t="s">
        <v>28</v>
      </c>
      <c r="F374" s="6">
        <v>4705.0</v>
      </c>
      <c r="G374" s="6">
        <v>181534.19</v>
      </c>
      <c r="H374" s="6">
        <v>38.58</v>
      </c>
      <c r="I374" s="8">
        <v>41.94026354941552</v>
      </c>
      <c r="J374" s="6">
        <v>197328.94</v>
      </c>
      <c r="K374" s="6">
        <v>-15794.76</v>
      </c>
      <c r="L374" s="6">
        <v>-8.7</v>
      </c>
      <c r="M374" s="6">
        <f t="shared" si="1"/>
        <v>-3.35701594</v>
      </c>
      <c r="N374" s="6">
        <v>-8.7</v>
      </c>
      <c r="O374" s="7" t="s">
        <v>45</v>
      </c>
      <c r="P374" s="7" t="s">
        <v>46</v>
      </c>
      <c r="Q374" s="7" t="s">
        <v>25</v>
      </c>
      <c r="R374" s="10">
        <v>-19544.4</v>
      </c>
      <c r="S374" s="10">
        <v>3749.64</v>
      </c>
      <c r="T374" s="9" t="s">
        <v>33</v>
      </c>
      <c r="U374" s="9"/>
      <c r="V374" s="9"/>
      <c r="W374" s="9"/>
      <c r="X374" s="9"/>
      <c r="Y374" s="9"/>
      <c r="Z374" s="9"/>
      <c r="AA374" s="9"/>
      <c r="AB374" s="9"/>
    </row>
    <row r="375">
      <c r="A375" s="5">
        <v>42011.0</v>
      </c>
      <c r="B375" s="6">
        <v>2015.0</v>
      </c>
      <c r="C375" s="7" t="s">
        <v>30</v>
      </c>
      <c r="D375" s="7" t="s">
        <v>43</v>
      </c>
      <c r="E375" s="7" t="s">
        <v>32</v>
      </c>
      <c r="F375" s="6">
        <v>2020.0</v>
      </c>
      <c r="G375" s="6">
        <v>83176.48</v>
      </c>
      <c r="H375" s="6">
        <v>41.18</v>
      </c>
      <c r="I375" s="8">
        <v>41.94496534653465</v>
      </c>
      <c r="J375" s="6">
        <v>84728.83</v>
      </c>
      <c r="K375" s="6">
        <v>-1552.35</v>
      </c>
      <c r="L375" s="6">
        <v>-1.87</v>
      </c>
      <c r="M375" s="6">
        <f t="shared" si="1"/>
        <v>-0.768490099</v>
      </c>
      <c r="N375" s="6">
        <v>-1.87</v>
      </c>
      <c r="O375" s="7" t="s">
        <v>45</v>
      </c>
      <c r="P375" s="7" t="s">
        <v>46</v>
      </c>
      <c r="Q375" s="7" t="s">
        <v>25</v>
      </c>
      <c r="R375" s="10">
        <v>-15794.76</v>
      </c>
      <c r="S375" s="10">
        <v>14242.41</v>
      </c>
      <c r="T375" s="9" t="s">
        <v>33</v>
      </c>
      <c r="U375" s="9"/>
      <c r="V375" s="9"/>
      <c r="W375" s="9"/>
      <c r="X375" s="9"/>
      <c r="Y375" s="9"/>
      <c r="Z375" s="9"/>
      <c r="AA375" s="9"/>
      <c r="AB375" s="9"/>
    </row>
    <row r="376">
      <c r="A376" s="5">
        <v>42012.0</v>
      </c>
      <c r="B376" s="6">
        <v>2015.0</v>
      </c>
      <c r="C376" s="7" t="s">
        <v>30</v>
      </c>
      <c r="D376" s="7" t="s">
        <v>44</v>
      </c>
      <c r="E376" s="7" t="s">
        <v>35</v>
      </c>
      <c r="F376" s="6">
        <v>1868.0</v>
      </c>
      <c r="G376" s="6">
        <v>76894.78</v>
      </c>
      <c r="H376" s="6">
        <v>41.16</v>
      </c>
      <c r="I376" s="8">
        <v>42.00647751605996</v>
      </c>
      <c r="J376" s="6">
        <v>78468.1</v>
      </c>
      <c r="K376" s="6">
        <v>-1573.32</v>
      </c>
      <c r="L376" s="6">
        <v>-2.05</v>
      </c>
      <c r="M376" s="6">
        <f t="shared" si="1"/>
        <v>-0.842248394</v>
      </c>
      <c r="N376" s="6">
        <v>-2.05</v>
      </c>
      <c r="O376" s="7" t="s">
        <v>45</v>
      </c>
      <c r="P376" s="7" t="s">
        <v>46</v>
      </c>
      <c r="Q376" s="7" t="s">
        <v>25</v>
      </c>
      <c r="R376" s="10">
        <v>-1552.35</v>
      </c>
      <c r="S376" s="10">
        <v>-20.97</v>
      </c>
      <c r="T376" s="9" t="s">
        <v>29</v>
      </c>
      <c r="U376" s="9"/>
      <c r="V376" s="9"/>
      <c r="W376" s="9"/>
      <c r="X376" s="9"/>
      <c r="Y376" s="9"/>
      <c r="Z376" s="9"/>
      <c r="AA376" s="9"/>
      <c r="AB376" s="9"/>
    </row>
    <row r="377">
      <c r="A377" s="5">
        <v>42013.0</v>
      </c>
      <c r="B377" s="6">
        <v>2015.0</v>
      </c>
      <c r="C377" s="7" t="s">
        <v>30</v>
      </c>
      <c r="D377" s="7" t="s">
        <v>47</v>
      </c>
      <c r="E377" s="7" t="s">
        <v>37</v>
      </c>
      <c r="F377" s="6">
        <v>3008.0</v>
      </c>
      <c r="G377" s="6">
        <v>123859.39</v>
      </c>
      <c r="H377" s="6">
        <v>41.18</v>
      </c>
      <c r="I377" s="8">
        <v>42.03595079787234</v>
      </c>
      <c r="J377" s="6">
        <v>126444.14</v>
      </c>
      <c r="K377" s="6">
        <v>-2584.75</v>
      </c>
      <c r="L377" s="6">
        <v>-2.09</v>
      </c>
      <c r="M377" s="6">
        <f t="shared" si="1"/>
        <v>-0.8592918883</v>
      </c>
      <c r="N377" s="6">
        <v>-2.09</v>
      </c>
      <c r="O377" s="7" t="s">
        <v>45</v>
      </c>
      <c r="P377" s="7" t="s">
        <v>46</v>
      </c>
      <c r="Q377" s="7" t="s">
        <v>25</v>
      </c>
      <c r="R377" s="10">
        <v>-1573.32</v>
      </c>
      <c r="S377" s="10">
        <v>-1011.44</v>
      </c>
      <c r="T377" s="9" t="s">
        <v>29</v>
      </c>
      <c r="U377" s="9"/>
      <c r="V377" s="9"/>
      <c r="W377" s="9"/>
      <c r="X377" s="9"/>
      <c r="Y377" s="9"/>
      <c r="Z377" s="9"/>
      <c r="AA377" s="9"/>
      <c r="AB377" s="9"/>
    </row>
    <row r="378">
      <c r="A378" s="5">
        <v>42014.0</v>
      </c>
      <c r="B378" s="6">
        <v>2015.0</v>
      </c>
      <c r="C378" s="7" t="s">
        <v>30</v>
      </c>
      <c r="D378" s="7" t="s">
        <v>48</v>
      </c>
      <c r="E378" s="7" t="s">
        <v>39</v>
      </c>
      <c r="F378" s="6">
        <v>2934.0</v>
      </c>
      <c r="G378" s="6">
        <v>120807.57</v>
      </c>
      <c r="H378" s="6">
        <v>41.18</v>
      </c>
      <c r="I378" s="8">
        <v>42.05616905248807</v>
      </c>
      <c r="J378" s="6">
        <v>123392.8</v>
      </c>
      <c r="K378" s="6">
        <v>-2585.23</v>
      </c>
      <c r="L378" s="6">
        <v>-2.14</v>
      </c>
      <c r="M378" s="6">
        <f t="shared" si="1"/>
        <v>-0.8811281527</v>
      </c>
      <c r="N378" s="6">
        <v>-2.14</v>
      </c>
      <c r="O378" s="7" t="s">
        <v>45</v>
      </c>
      <c r="P378" s="7" t="s">
        <v>46</v>
      </c>
      <c r="Q378" s="7" t="s">
        <v>25</v>
      </c>
      <c r="R378" s="10">
        <v>-2584.75</v>
      </c>
      <c r="S378" s="10">
        <v>-0.48</v>
      </c>
      <c r="T378" s="9" t="s">
        <v>29</v>
      </c>
      <c r="U378" s="9"/>
      <c r="V378" s="9"/>
      <c r="W378" s="9"/>
      <c r="X378" s="9"/>
      <c r="Y378" s="9"/>
      <c r="Z378" s="9"/>
      <c r="AA378" s="9"/>
      <c r="AB378" s="9"/>
    </row>
    <row r="379">
      <c r="A379" s="5">
        <v>42015.0</v>
      </c>
      <c r="B379" s="6">
        <v>2015.0</v>
      </c>
      <c r="C379" s="7" t="s">
        <v>30</v>
      </c>
      <c r="D379" s="7" t="s">
        <v>49</v>
      </c>
      <c r="E379" s="7" t="s">
        <v>41</v>
      </c>
      <c r="F379" s="6">
        <v>1690.0</v>
      </c>
      <c r="G379" s="6">
        <v>69597.37</v>
      </c>
      <c r="H379" s="6">
        <v>41.18</v>
      </c>
      <c r="I379" s="8">
        <v>42.04222485207101</v>
      </c>
      <c r="J379" s="6">
        <v>71051.36</v>
      </c>
      <c r="K379" s="6">
        <v>-1454.0</v>
      </c>
      <c r="L379" s="6">
        <v>-2.09</v>
      </c>
      <c r="M379" s="6">
        <f t="shared" si="1"/>
        <v>-0.8603550296</v>
      </c>
      <c r="N379" s="6">
        <v>-2.09</v>
      </c>
      <c r="O379" s="7" t="s">
        <v>45</v>
      </c>
      <c r="P379" s="7" t="s">
        <v>46</v>
      </c>
      <c r="Q379" s="7" t="s">
        <v>25</v>
      </c>
      <c r="R379" s="10">
        <v>-2585.23</v>
      </c>
      <c r="S379" s="10">
        <v>1131.23</v>
      </c>
      <c r="T379" s="9" t="s">
        <v>33</v>
      </c>
      <c r="U379" s="9"/>
      <c r="V379" s="9"/>
      <c r="W379" s="9"/>
      <c r="X379" s="9"/>
      <c r="Y379" s="9"/>
      <c r="Z379" s="9"/>
      <c r="AA379" s="9"/>
      <c r="AB379" s="9"/>
    </row>
    <row r="380">
      <c r="A380" s="5">
        <v>42016.0</v>
      </c>
      <c r="B380" s="6">
        <v>2015.0</v>
      </c>
      <c r="C380" s="7" t="s">
        <v>30</v>
      </c>
      <c r="D380" s="7" t="s">
        <v>50</v>
      </c>
      <c r="E380" s="7" t="s">
        <v>22</v>
      </c>
      <c r="F380" s="6">
        <v>2058.0</v>
      </c>
      <c r="G380" s="6">
        <v>84738.29</v>
      </c>
      <c r="H380" s="6">
        <v>41.18</v>
      </c>
      <c r="I380" s="8">
        <v>42.01532555879494</v>
      </c>
      <c r="J380" s="6">
        <v>86467.54</v>
      </c>
      <c r="K380" s="6">
        <v>-1729.24</v>
      </c>
      <c r="L380" s="6">
        <v>-2.04</v>
      </c>
      <c r="M380" s="6">
        <f t="shared" si="1"/>
        <v>-0.8402526725</v>
      </c>
      <c r="N380" s="6">
        <v>-2.04</v>
      </c>
      <c r="O380" s="7" t="s">
        <v>45</v>
      </c>
      <c r="P380" s="7" t="s">
        <v>46</v>
      </c>
      <c r="Q380" s="7" t="s">
        <v>25</v>
      </c>
      <c r="R380" s="10">
        <v>-1454.0</v>
      </c>
      <c r="S380" s="10">
        <v>-275.25</v>
      </c>
      <c r="T380" s="9" t="s">
        <v>29</v>
      </c>
      <c r="U380" s="9"/>
      <c r="V380" s="9"/>
      <c r="W380" s="9"/>
      <c r="X380" s="9"/>
      <c r="Y380" s="9"/>
      <c r="Z380" s="9"/>
      <c r="AA380" s="9"/>
      <c r="AB380" s="9"/>
    </row>
    <row r="381">
      <c r="A381" s="5">
        <v>42017.0</v>
      </c>
      <c r="B381" s="6">
        <v>2015.0</v>
      </c>
      <c r="C381" s="7" t="s">
        <v>30</v>
      </c>
      <c r="D381" s="7" t="s">
        <v>51</v>
      </c>
      <c r="E381" s="7" t="s">
        <v>28</v>
      </c>
      <c r="F381" s="6">
        <v>1570.0</v>
      </c>
      <c r="G381" s="6">
        <v>64653.97</v>
      </c>
      <c r="H381" s="6">
        <v>41.18</v>
      </c>
      <c r="I381" s="8">
        <v>42.025745222929935</v>
      </c>
      <c r="J381" s="6">
        <v>65980.42</v>
      </c>
      <c r="K381" s="6">
        <v>-1326.45</v>
      </c>
      <c r="L381" s="6">
        <v>-2.05</v>
      </c>
      <c r="M381" s="6">
        <f t="shared" si="1"/>
        <v>-0.8448726115</v>
      </c>
      <c r="N381" s="6">
        <v>-2.05</v>
      </c>
      <c r="O381" s="7" t="s">
        <v>45</v>
      </c>
      <c r="P381" s="7" t="s">
        <v>46</v>
      </c>
      <c r="Q381" s="7" t="s">
        <v>25</v>
      </c>
      <c r="R381" s="10">
        <v>-1729.24</v>
      </c>
      <c r="S381" s="10">
        <v>402.79</v>
      </c>
      <c r="T381" s="9" t="s">
        <v>33</v>
      </c>
      <c r="U381" s="9"/>
      <c r="V381" s="9"/>
      <c r="W381" s="9"/>
      <c r="X381" s="9"/>
      <c r="Y381" s="9"/>
      <c r="Z381" s="9"/>
      <c r="AA381" s="9"/>
      <c r="AB381" s="9"/>
    </row>
    <row r="382">
      <c r="A382" s="5">
        <v>42018.0</v>
      </c>
      <c r="B382" s="6">
        <v>2015.0</v>
      </c>
      <c r="C382" s="7" t="s">
        <v>30</v>
      </c>
      <c r="D382" s="7" t="s">
        <v>52</v>
      </c>
      <c r="E382" s="7" t="s">
        <v>32</v>
      </c>
      <c r="F382" s="6">
        <v>1446.0</v>
      </c>
      <c r="G382" s="6">
        <v>59553.39</v>
      </c>
      <c r="H382" s="6">
        <v>41.18</v>
      </c>
      <c r="I382" s="8">
        <v>41.98019363762102</v>
      </c>
      <c r="J382" s="6">
        <v>60703.36</v>
      </c>
      <c r="K382" s="6">
        <v>-1149.97</v>
      </c>
      <c r="L382" s="6">
        <v>-1.93</v>
      </c>
      <c r="M382" s="6">
        <f t="shared" si="1"/>
        <v>-0.7952766252</v>
      </c>
      <c r="N382" s="6">
        <v>-1.93</v>
      </c>
      <c r="O382" s="7" t="s">
        <v>45</v>
      </c>
      <c r="P382" s="7" t="s">
        <v>46</v>
      </c>
      <c r="Q382" s="7" t="s">
        <v>25</v>
      </c>
      <c r="R382" s="10">
        <v>-1326.45</v>
      </c>
      <c r="S382" s="10">
        <v>176.48</v>
      </c>
      <c r="T382" s="9" t="s">
        <v>33</v>
      </c>
      <c r="U382" s="9"/>
      <c r="V382" s="9"/>
      <c r="W382" s="9"/>
      <c r="X382" s="9"/>
      <c r="Y382" s="9"/>
      <c r="Z382" s="9"/>
      <c r="AA382" s="9"/>
      <c r="AB382" s="9"/>
    </row>
    <row r="383">
      <c r="A383" s="5">
        <v>42019.0</v>
      </c>
      <c r="B383" s="6">
        <v>2015.0</v>
      </c>
      <c r="C383" s="7" t="s">
        <v>30</v>
      </c>
      <c r="D383" s="7" t="s">
        <v>53</v>
      </c>
      <c r="E383" s="7" t="s">
        <v>35</v>
      </c>
      <c r="F383" s="6">
        <v>1921.0</v>
      </c>
      <c r="G383" s="6">
        <v>79080.76</v>
      </c>
      <c r="H383" s="6">
        <v>41.17</v>
      </c>
      <c r="I383" s="8">
        <v>41.82079646017699</v>
      </c>
      <c r="J383" s="6">
        <v>80337.75</v>
      </c>
      <c r="K383" s="6">
        <v>-1256.99</v>
      </c>
      <c r="L383" s="6">
        <v>-1.59</v>
      </c>
      <c r="M383" s="6">
        <f t="shared" si="1"/>
        <v>-0.6543414888</v>
      </c>
      <c r="N383" s="6">
        <v>-1.59</v>
      </c>
      <c r="O383" s="7" t="s">
        <v>45</v>
      </c>
      <c r="P383" s="7" t="s">
        <v>46</v>
      </c>
      <c r="Q383" s="7" t="s">
        <v>25</v>
      </c>
      <c r="R383" s="10">
        <v>-1149.97</v>
      </c>
      <c r="S383" s="10">
        <v>-107.02</v>
      </c>
      <c r="T383" s="9" t="s">
        <v>29</v>
      </c>
      <c r="U383" s="9"/>
      <c r="V383" s="9"/>
      <c r="W383" s="9"/>
      <c r="X383" s="9"/>
      <c r="Y383" s="9"/>
      <c r="Z383" s="9"/>
      <c r="AA383" s="9"/>
      <c r="AB383" s="9"/>
    </row>
    <row r="384">
      <c r="A384" s="5">
        <v>42020.0</v>
      </c>
      <c r="B384" s="6">
        <v>2015.0</v>
      </c>
      <c r="C384" s="7" t="s">
        <v>30</v>
      </c>
      <c r="D384" s="7" t="s">
        <v>54</v>
      </c>
      <c r="E384" s="7" t="s">
        <v>37</v>
      </c>
      <c r="F384" s="6">
        <v>3629.0</v>
      </c>
      <c r="G384" s="6">
        <v>149444.06</v>
      </c>
      <c r="H384" s="6">
        <v>41.18</v>
      </c>
      <c r="I384" s="8">
        <v>41.893356296500414</v>
      </c>
      <c r="J384" s="6">
        <v>152030.99</v>
      </c>
      <c r="K384" s="6">
        <v>-2586.93</v>
      </c>
      <c r="L384" s="6">
        <v>-1.73</v>
      </c>
      <c r="M384" s="6">
        <f t="shared" si="1"/>
        <v>-0.7128492698</v>
      </c>
      <c r="N384" s="6">
        <v>-1.73</v>
      </c>
      <c r="O384" s="7" t="s">
        <v>45</v>
      </c>
      <c r="P384" s="7" t="s">
        <v>46</v>
      </c>
      <c r="Q384" s="7" t="s">
        <v>25</v>
      </c>
      <c r="R384" s="10">
        <v>-1256.99</v>
      </c>
      <c r="S384" s="10">
        <v>-1329.94</v>
      </c>
      <c r="T384" s="9" t="s">
        <v>29</v>
      </c>
      <c r="U384" s="9"/>
      <c r="V384" s="9"/>
      <c r="W384" s="9"/>
      <c r="X384" s="9"/>
      <c r="Y384" s="9"/>
      <c r="Z384" s="9"/>
      <c r="AA384" s="9"/>
      <c r="AB384" s="9"/>
    </row>
    <row r="385">
      <c r="A385" s="5">
        <v>42021.0</v>
      </c>
      <c r="B385" s="6">
        <v>2015.0</v>
      </c>
      <c r="C385" s="7" t="s">
        <v>30</v>
      </c>
      <c r="D385" s="7" t="s">
        <v>55</v>
      </c>
      <c r="E385" s="7" t="s">
        <v>39</v>
      </c>
      <c r="F385" s="6">
        <v>4144.0</v>
      </c>
      <c r="G385" s="6">
        <v>170624.08</v>
      </c>
      <c r="H385" s="6">
        <v>41.17</v>
      </c>
      <c r="I385" s="8">
        <v>41.879109555984556</v>
      </c>
      <c r="J385" s="6">
        <v>173547.03</v>
      </c>
      <c r="K385" s="6">
        <v>-2922.95</v>
      </c>
      <c r="L385" s="6">
        <v>-1.71</v>
      </c>
      <c r="M385" s="6">
        <f t="shared" si="1"/>
        <v>-0.7053450772</v>
      </c>
      <c r="N385" s="6">
        <v>-1.71</v>
      </c>
      <c r="O385" s="7" t="s">
        <v>45</v>
      </c>
      <c r="P385" s="7" t="s">
        <v>46</v>
      </c>
      <c r="Q385" s="7" t="s">
        <v>25</v>
      </c>
      <c r="R385" s="10">
        <v>-2586.93</v>
      </c>
      <c r="S385" s="10">
        <v>-336.02</v>
      </c>
      <c r="T385" s="9" t="s">
        <v>29</v>
      </c>
      <c r="U385" s="9"/>
      <c r="V385" s="9"/>
      <c r="W385" s="9"/>
      <c r="X385" s="9"/>
      <c r="Y385" s="9"/>
      <c r="Z385" s="9"/>
      <c r="AA385" s="9"/>
      <c r="AB385" s="9"/>
    </row>
    <row r="386">
      <c r="A386" s="5">
        <v>42022.0</v>
      </c>
      <c r="B386" s="6">
        <v>2015.0</v>
      </c>
      <c r="C386" s="7" t="s">
        <v>30</v>
      </c>
      <c r="D386" s="7" t="s">
        <v>56</v>
      </c>
      <c r="E386" s="7" t="s">
        <v>41</v>
      </c>
      <c r="F386" s="6">
        <v>1815.0</v>
      </c>
      <c r="G386" s="6">
        <v>74744.28</v>
      </c>
      <c r="H386" s="6">
        <v>41.18</v>
      </c>
      <c r="I386" s="8">
        <v>41.8754435261708</v>
      </c>
      <c r="J386" s="6">
        <v>76003.93</v>
      </c>
      <c r="K386" s="6">
        <v>-1259.65</v>
      </c>
      <c r="L386" s="6">
        <v>-1.69</v>
      </c>
      <c r="M386" s="6">
        <f t="shared" si="1"/>
        <v>-0.6940220386</v>
      </c>
      <c r="N386" s="6">
        <v>-1.69</v>
      </c>
      <c r="O386" s="7" t="s">
        <v>45</v>
      </c>
      <c r="P386" s="7" t="s">
        <v>46</v>
      </c>
      <c r="Q386" s="7" t="s">
        <v>25</v>
      </c>
      <c r="R386" s="10">
        <v>-2922.95</v>
      </c>
      <c r="S386" s="10">
        <v>1663.3</v>
      </c>
      <c r="T386" s="9" t="s">
        <v>33</v>
      </c>
      <c r="U386" s="9"/>
      <c r="V386" s="9"/>
      <c r="W386" s="9"/>
      <c r="X386" s="9"/>
      <c r="Y386" s="9"/>
      <c r="Z386" s="9"/>
      <c r="AA386" s="9"/>
      <c r="AB386" s="9"/>
    </row>
    <row r="387">
      <c r="A387" s="5">
        <v>42023.0</v>
      </c>
      <c r="B387" s="6">
        <v>2015.0</v>
      </c>
      <c r="C387" s="7" t="s">
        <v>30</v>
      </c>
      <c r="D387" s="7" t="s">
        <v>57</v>
      </c>
      <c r="E387" s="7" t="s">
        <v>22</v>
      </c>
      <c r="F387" s="6">
        <v>2189.0</v>
      </c>
      <c r="G387" s="6">
        <v>90144.16</v>
      </c>
      <c r="H387" s="6">
        <v>41.18</v>
      </c>
      <c r="I387" s="8">
        <v>41.62218821379626</v>
      </c>
      <c r="J387" s="6">
        <v>91110.97</v>
      </c>
      <c r="K387" s="6">
        <v>-966.81</v>
      </c>
      <c r="L387" s="6">
        <v>-1.07</v>
      </c>
      <c r="M387" s="6">
        <f t="shared" si="1"/>
        <v>-0.441667428</v>
      </c>
      <c r="N387" s="6">
        <v>-1.07</v>
      </c>
      <c r="O387" s="7" t="s">
        <v>45</v>
      </c>
      <c r="P387" s="7" t="s">
        <v>46</v>
      </c>
      <c r="Q387" s="7" t="s">
        <v>25</v>
      </c>
      <c r="R387" s="10">
        <v>-1259.65</v>
      </c>
      <c r="S387" s="10">
        <v>292.84</v>
      </c>
      <c r="T387" s="9" t="s">
        <v>33</v>
      </c>
      <c r="U387" s="9"/>
      <c r="V387" s="9"/>
      <c r="W387" s="9"/>
      <c r="X387" s="9"/>
      <c r="Y387" s="9"/>
      <c r="Z387" s="9"/>
      <c r="AA387" s="9"/>
      <c r="AB387" s="9"/>
    </row>
    <row r="388">
      <c r="A388" s="5">
        <v>42024.0</v>
      </c>
      <c r="B388" s="6">
        <v>2015.0</v>
      </c>
      <c r="C388" s="7" t="s">
        <v>30</v>
      </c>
      <c r="D388" s="7" t="s">
        <v>58</v>
      </c>
      <c r="E388" s="7" t="s">
        <v>28</v>
      </c>
      <c r="F388" s="6">
        <v>2376.0</v>
      </c>
      <c r="G388" s="6">
        <v>97826.81</v>
      </c>
      <c r="H388" s="6">
        <v>41.17</v>
      </c>
      <c r="I388" s="8">
        <v>41.723194444444445</v>
      </c>
      <c r="J388" s="6">
        <v>99134.31</v>
      </c>
      <c r="K388" s="6">
        <v>-1307.5</v>
      </c>
      <c r="L388" s="6">
        <v>-1.34</v>
      </c>
      <c r="M388" s="6">
        <f t="shared" si="1"/>
        <v>-0.5502946128</v>
      </c>
      <c r="N388" s="6">
        <v>-1.34</v>
      </c>
      <c r="O388" s="7" t="s">
        <v>45</v>
      </c>
      <c r="P388" s="7" t="s">
        <v>46</v>
      </c>
      <c r="Q388" s="7" t="s">
        <v>25</v>
      </c>
      <c r="R388" s="10">
        <v>-966.81</v>
      </c>
      <c r="S388" s="10">
        <v>-340.69</v>
      </c>
      <c r="T388" s="9" t="s">
        <v>29</v>
      </c>
      <c r="U388" s="9"/>
      <c r="V388" s="9"/>
      <c r="W388" s="9"/>
      <c r="X388" s="9"/>
      <c r="Y388" s="9"/>
      <c r="Z388" s="9"/>
      <c r="AA388" s="9"/>
      <c r="AB388" s="9"/>
    </row>
    <row r="389">
      <c r="A389" s="5">
        <v>42025.0</v>
      </c>
      <c r="B389" s="6">
        <v>2015.0</v>
      </c>
      <c r="C389" s="7" t="s">
        <v>30</v>
      </c>
      <c r="D389" s="7" t="s">
        <v>59</v>
      </c>
      <c r="E389" s="7" t="s">
        <v>32</v>
      </c>
      <c r="F389" s="6">
        <v>1525.0</v>
      </c>
      <c r="G389" s="6">
        <v>62795.98</v>
      </c>
      <c r="H389" s="6">
        <v>41.18</v>
      </c>
      <c r="I389" s="8">
        <v>42.06169836065573</v>
      </c>
      <c r="J389" s="6">
        <v>64144.09</v>
      </c>
      <c r="K389" s="6">
        <v>-1348.11</v>
      </c>
      <c r="L389" s="6">
        <v>-2.15</v>
      </c>
      <c r="M389" s="6">
        <f t="shared" si="1"/>
        <v>-0.8840065574</v>
      </c>
      <c r="N389" s="6">
        <v>-2.15</v>
      </c>
      <c r="O389" s="7" t="s">
        <v>45</v>
      </c>
      <c r="P389" s="7" t="s">
        <v>46</v>
      </c>
      <c r="Q389" s="7" t="s">
        <v>25</v>
      </c>
      <c r="R389" s="10">
        <v>-1307.5</v>
      </c>
      <c r="S389" s="10">
        <v>-40.61</v>
      </c>
      <c r="T389" s="9" t="s">
        <v>29</v>
      </c>
      <c r="U389" s="9"/>
      <c r="V389" s="9"/>
      <c r="W389" s="9"/>
      <c r="X389" s="9"/>
      <c r="Y389" s="9"/>
      <c r="Z389" s="9"/>
      <c r="AA389" s="9"/>
      <c r="AB389" s="9"/>
    </row>
    <row r="390">
      <c r="A390" s="5">
        <v>42026.0</v>
      </c>
      <c r="B390" s="6">
        <v>2015.0</v>
      </c>
      <c r="C390" s="7" t="s">
        <v>30</v>
      </c>
      <c r="D390" s="7" t="s">
        <v>60</v>
      </c>
      <c r="E390" s="7" t="s">
        <v>35</v>
      </c>
      <c r="F390" s="6">
        <v>1616.0</v>
      </c>
      <c r="G390" s="6">
        <v>66550.99</v>
      </c>
      <c r="H390" s="6">
        <v>41.18</v>
      </c>
      <c r="I390" s="8">
        <v>42.049597772277224</v>
      </c>
      <c r="J390" s="6">
        <v>67952.15</v>
      </c>
      <c r="K390" s="6">
        <v>-1401.16</v>
      </c>
      <c r="L390" s="6">
        <v>-2.11</v>
      </c>
      <c r="M390" s="6">
        <f t="shared" si="1"/>
        <v>-0.8670544554</v>
      </c>
      <c r="N390" s="6">
        <v>-2.11</v>
      </c>
      <c r="O390" s="7" t="s">
        <v>45</v>
      </c>
      <c r="P390" s="7" t="s">
        <v>46</v>
      </c>
      <c r="Q390" s="7" t="s">
        <v>25</v>
      </c>
      <c r="R390" s="10">
        <v>-1348.11</v>
      </c>
      <c r="S390" s="10">
        <v>-53.05</v>
      </c>
      <c r="T390" s="9" t="s">
        <v>29</v>
      </c>
      <c r="U390" s="9"/>
      <c r="V390" s="9"/>
      <c r="W390" s="9"/>
      <c r="X390" s="9"/>
      <c r="Y390" s="9"/>
      <c r="Z390" s="9"/>
      <c r="AA390" s="9"/>
      <c r="AB390" s="9"/>
    </row>
    <row r="391">
      <c r="A391" s="5">
        <v>42027.0</v>
      </c>
      <c r="B391" s="6">
        <v>2015.0</v>
      </c>
      <c r="C391" s="7" t="s">
        <v>30</v>
      </c>
      <c r="D391" s="7" t="s">
        <v>61</v>
      </c>
      <c r="E391" s="7" t="s">
        <v>37</v>
      </c>
      <c r="F391" s="6">
        <v>3757.0</v>
      </c>
      <c r="G391" s="6">
        <v>154670.89</v>
      </c>
      <c r="H391" s="6">
        <v>41.17</v>
      </c>
      <c r="I391" s="8">
        <v>42.06329252062816</v>
      </c>
      <c r="J391" s="6">
        <v>158031.79</v>
      </c>
      <c r="K391" s="6">
        <v>-3360.9</v>
      </c>
      <c r="L391" s="6">
        <v>-2.17</v>
      </c>
      <c r="M391" s="6">
        <f t="shared" si="1"/>
        <v>-0.8945701357</v>
      </c>
      <c r="N391" s="6">
        <v>-2.17</v>
      </c>
      <c r="O391" s="7" t="s">
        <v>45</v>
      </c>
      <c r="P391" s="7" t="s">
        <v>46</v>
      </c>
      <c r="Q391" s="7" t="s">
        <v>25</v>
      </c>
      <c r="R391" s="10">
        <v>-1401.16</v>
      </c>
      <c r="S391" s="10">
        <v>-1959.74</v>
      </c>
      <c r="T391" s="9" t="s">
        <v>29</v>
      </c>
      <c r="U391" s="9"/>
      <c r="V391" s="9"/>
      <c r="W391" s="9"/>
      <c r="X391" s="9"/>
      <c r="Y391" s="9"/>
      <c r="Z391" s="9"/>
      <c r="AA391" s="9"/>
      <c r="AB391" s="9"/>
    </row>
    <row r="392">
      <c r="A392" s="5">
        <v>42028.0</v>
      </c>
      <c r="B392" s="6">
        <v>2015.0</v>
      </c>
      <c r="C392" s="7" t="s">
        <v>30</v>
      </c>
      <c r="D392" s="7" t="s">
        <v>62</v>
      </c>
      <c r="E392" s="7" t="s">
        <v>39</v>
      </c>
      <c r="F392" s="6">
        <v>3855.0</v>
      </c>
      <c r="G392" s="6">
        <v>158722.11</v>
      </c>
      <c r="H392" s="6">
        <v>41.17</v>
      </c>
      <c r="I392" s="8">
        <v>42.044726329442284</v>
      </c>
      <c r="J392" s="6">
        <v>162082.42</v>
      </c>
      <c r="K392" s="6">
        <v>-3360.31</v>
      </c>
      <c r="L392" s="6">
        <v>-2.12</v>
      </c>
      <c r="M392" s="6">
        <f t="shared" si="1"/>
        <v>-0.8716757458</v>
      </c>
      <c r="N392" s="6">
        <v>-2.12</v>
      </c>
      <c r="O392" s="7" t="s">
        <v>45</v>
      </c>
      <c r="P392" s="7" t="s">
        <v>46</v>
      </c>
      <c r="Q392" s="7" t="s">
        <v>25</v>
      </c>
      <c r="R392" s="10">
        <v>-3360.9</v>
      </c>
      <c r="S392" s="10">
        <v>0.59</v>
      </c>
      <c r="T392" s="9" t="s">
        <v>33</v>
      </c>
      <c r="U392" s="9"/>
      <c r="V392" s="9"/>
      <c r="W392" s="9"/>
      <c r="X392" s="9"/>
      <c r="Y392" s="9"/>
      <c r="Z392" s="9"/>
      <c r="AA392" s="9"/>
      <c r="AB392" s="9"/>
    </row>
    <row r="393">
      <c r="A393" s="5">
        <v>42029.0</v>
      </c>
      <c r="B393" s="6">
        <v>2015.0</v>
      </c>
      <c r="C393" s="7" t="s">
        <v>30</v>
      </c>
      <c r="D393" s="7" t="s">
        <v>63</v>
      </c>
      <c r="E393" s="7" t="s">
        <v>41</v>
      </c>
      <c r="F393" s="6">
        <v>1897.0</v>
      </c>
      <c r="G393" s="6">
        <v>78092.28</v>
      </c>
      <c r="H393" s="6">
        <v>41.17</v>
      </c>
      <c r="I393" s="8">
        <v>42.063806009488665</v>
      </c>
      <c r="J393" s="6">
        <v>79795.04</v>
      </c>
      <c r="K393" s="6">
        <v>-1702.77</v>
      </c>
      <c r="L393" s="6">
        <v>-2.18</v>
      </c>
      <c r="M393" s="6">
        <f t="shared" si="1"/>
        <v>-0.897612019</v>
      </c>
      <c r="N393" s="6">
        <v>-2.18</v>
      </c>
      <c r="O393" s="7" t="s">
        <v>45</v>
      </c>
      <c r="P393" s="7" t="s">
        <v>46</v>
      </c>
      <c r="Q393" s="7" t="s">
        <v>25</v>
      </c>
      <c r="R393" s="10">
        <v>-3360.31</v>
      </c>
      <c r="S393" s="10">
        <v>1657.55</v>
      </c>
      <c r="T393" s="9" t="s">
        <v>33</v>
      </c>
      <c r="U393" s="9"/>
      <c r="V393" s="9"/>
      <c r="W393" s="9"/>
      <c r="X393" s="9"/>
      <c r="Y393" s="9"/>
      <c r="Z393" s="9"/>
      <c r="AA393" s="9"/>
      <c r="AB393" s="9"/>
    </row>
    <row r="394">
      <c r="A394" s="5">
        <v>42030.0</v>
      </c>
      <c r="B394" s="6">
        <v>2015.0</v>
      </c>
      <c r="C394" s="7" t="s">
        <v>30</v>
      </c>
      <c r="D394" s="7" t="s">
        <v>64</v>
      </c>
      <c r="E394" s="7" t="s">
        <v>22</v>
      </c>
      <c r="F394" s="6">
        <v>2230.0</v>
      </c>
      <c r="G394" s="6">
        <v>91830.4</v>
      </c>
      <c r="H394" s="6">
        <v>41.18</v>
      </c>
      <c r="I394" s="8">
        <v>42.066408071748874</v>
      </c>
      <c r="J394" s="6">
        <v>93808.09</v>
      </c>
      <c r="K394" s="6">
        <v>-1977.68</v>
      </c>
      <c r="L394" s="6">
        <v>-2.15</v>
      </c>
      <c r="M394" s="6">
        <f t="shared" si="1"/>
        <v>-0.8868520179</v>
      </c>
      <c r="N394" s="6">
        <v>-2.15</v>
      </c>
      <c r="O394" s="7" t="s">
        <v>45</v>
      </c>
      <c r="P394" s="7" t="s">
        <v>46</v>
      </c>
      <c r="Q394" s="7" t="s">
        <v>25</v>
      </c>
      <c r="R394" s="10">
        <v>-1702.77</v>
      </c>
      <c r="S394" s="10">
        <v>-274.92</v>
      </c>
      <c r="T394" s="9" t="s">
        <v>29</v>
      </c>
      <c r="U394" s="9"/>
      <c r="V394" s="9"/>
      <c r="W394" s="9"/>
      <c r="X394" s="9"/>
      <c r="Y394" s="9"/>
      <c r="Z394" s="9"/>
      <c r="AA394" s="9"/>
      <c r="AB394" s="9"/>
    </row>
    <row r="395">
      <c r="A395" s="5">
        <v>42031.0</v>
      </c>
      <c r="B395" s="6">
        <v>2015.0</v>
      </c>
      <c r="C395" s="7" t="s">
        <v>30</v>
      </c>
      <c r="D395" s="7" t="s">
        <v>65</v>
      </c>
      <c r="E395" s="7" t="s">
        <v>28</v>
      </c>
      <c r="F395" s="6">
        <v>1870.0</v>
      </c>
      <c r="G395" s="6">
        <v>76992.94</v>
      </c>
      <c r="H395" s="6">
        <v>41.17</v>
      </c>
      <c r="I395" s="8">
        <v>42.039818181818184</v>
      </c>
      <c r="J395" s="6">
        <v>78614.46</v>
      </c>
      <c r="K395" s="6">
        <v>-1621.52</v>
      </c>
      <c r="L395" s="6">
        <v>-2.11</v>
      </c>
      <c r="M395" s="6">
        <f t="shared" si="1"/>
        <v>-0.8671229947</v>
      </c>
      <c r="N395" s="6">
        <v>-2.11</v>
      </c>
      <c r="O395" s="7" t="s">
        <v>45</v>
      </c>
      <c r="P395" s="7" t="s">
        <v>46</v>
      </c>
      <c r="Q395" s="7" t="s">
        <v>25</v>
      </c>
      <c r="R395" s="10">
        <v>-1977.68</v>
      </c>
      <c r="S395" s="10">
        <v>356.16</v>
      </c>
      <c r="T395" s="9" t="s">
        <v>33</v>
      </c>
      <c r="U395" s="9"/>
      <c r="V395" s="9"/>
      <c r="W395" s="9"/>
      <c r="X395" s="9"/>
      <c r="Y395" s="9"/>
      <c r="Z395" s="9"/>
      <c r="AA395" s="9"/>
      <c r="AB395" s="9"/>
    </row>
    <row r="396">
      <c r="A396" s="5">
        <v>42032.0</v>
      </c>
      <c r="B396" s="6">
        <v>2015.0</v>
      </c>
      <c r="C396" s="7" t="s">
        <v>30</v>
      </c>
      <c r="D396" s="7" t="s">
        <v>66</v>
      </c>
      <c r="E396" s="7" t="s">
        <v>32</v>
      </c>
      <c r="F396" s="6">
        <v>1455.0</v>
      </c>
      <c r="G396" s="6">
        <v>59897.72</v>
      </c>
      <c r="H396" s="6">
        <v>41.17</v>
      </c>
      <c r="I396" s="8">
        <v>42.057855670103095</v>
      </c>
      <c r="J396" s="6">
        <v>61194.18</v>
      </c>
      <c r="K396" s="6">
        <v>-1296.46</v>
      </c>
      <c r="L396" s="6">
        <v>-2.16</v>
      </c>
      <c r="M396" s="6">
        <f t="shared" si="1"/>
        <v>-0.8910378007</v>
      </c>
      <c r="N396" s="6">
        <v>-2.16</v>
      </c>
      <c r="O396" s="7" t="s">
        <v>45</v>
      </c>
      <c r="P396" s="7" t="s">
        <v>46</v>
      </c>
      <c r="Q396" s="7" t="s">
        <v>25</v>
      </c>
      <c r="R396" s="10">
        <v>-1621.52</v>
      </c>
      <c r="S396" s="10">
        <v>325.06</v>
      </c>
      <c r="T396" s="9" t="s">
        <v>33</v>
      </c>
      <c r="U396" s="9"/>
      <c r="V396" s="9"/>
      <c r="W396" s="9"/>
      <c r="X396" s="9"/>
      <c r="Y396" s="9"/>
      <c r="Z396" s="9"/>
      <c r="AA396" s="9"/>
      <c r="AB396" s="9"/>
    </row>
    <row r="397">
      <c r="A397" s="5">
        <v>42033.0</v>
      </c>
      <c r="B397" s="6">
        <v>2015.0</v>
      </c>
      <c r="C397" s="7" t="s">
        <v>30</v>
      </c>
      <c r="D397" s="7" t="s">
        <v>67</v>
      </c>
      <c r="E397" s="7" t="s">
        <v>35</v>
      </c>
      <c r="F397" s="6">
        <v>1392.0</v>
      </c>
      <c r="G397" s="6">
        <v>57310.19</v>
      </c>
      <c r="H397" s="6">
        <v>41.17</v>
      </c>
      <c r="I397" s="8">
        <v>42.04842672413793</v>
      </c>
      <c r="J397" s="6">
        <v>58531.41</v>
      </c>
      <c r="K397" s="6">
        <v>-1221.22</v>
      </c>
      <c r="L397" s="6">
        <v>-2.13</v>
      </c>
      <c r="M397" s="6">
        <f t="shared" si="1"/>
        <v>-0.8773132184</v>
      </c>
      <c r="N397" s="6">
        <v>-2.13</v>
      </c>
      <c r="O397" s="7" t="s">
        <v>45</v>
      </c>
      <c r="P397" s="7" t="s">
        <v>46</v>
      </c>
      <c r="Q397" s="7" t="s">
        <v>25</v>
      </c>
      <c r="R397" s="10">
        <v>-1296.46</v>
      </c>
      <c r="S397" s="10">
        <v>75.25</v>
      </c>
      <c r="T397" s="9" t="s">
        <v>33</v>
      </c>
      <c r="U397" s="9"/>
      <c r="V397" s="9"/>
      <c r="W397" s="9"/>
      <c r="X397" s="9"/>
      <c r="Y397" s="9"/>
      <c r="Z397" s="9"/>
      <c r="AA397" s="9"/>
      <c r="AB397" s="9"/>
    </row>
    <row r="398">
      <c r="A398" s="5">
        <v>42034.0</v>
      </c>
      <c r="B398" s="6">
        <v>2015.0</v>
      </c>
      <c r="C398" s="7" t="s">
        <v>30</v>
      </c>
      <c r="D398" s="7" t="s">
        <v>21</v>
      </c>
      <c r="E398" s="7" t="s">
        <v>37</v>
      </c>
      <c r="F398" s="6">
        <v>3268.0</v>
      </c>
      <c r="G398" s="6">
        <v>134540.21</v>
      </c>
      <c r="H398" s="6">
        <v>41.17</v>
      </c>
      <c r="I398" s="8">
        <v>41.98945532435741</v>
      </c>
      <c r="J398" s="6">
        <v>137221.54</v>
      </c>
      <c r="K398" s="6">
        <v>-2681.32</v>
      </c>
      <c r="L398" s="6">
        <v>-1.99</v>
      </c>
      <c r="M398" s="6">
        <f t="shared" si="1"/>
        <v>-0.8204773562</v>
      </c>
      <c r="N398" s="6">
        <v>-1.99</v>
      </c>
      <c r="O398" s="7" t="s">
        <v>45</v>
      </c>
      <c r="P398" s="7" t="s">
        <v>46</v>
      </c>
      <c r="Q398" s="7" t="s">
        <v>25</v>
      </c>
      <c r="R398" s="10">
        <v>-1221.22</v>
      </c>
      <c r="S398" s="10">
        <v>-1460.11</v>
      </c>
      <c r="T398" s="9" t="s">
        <v>29</v>
      </c>
      <c r="U398" s="9"/>
      <c r="V398" s="9"/>
      <c r="W398" s="9"/>
      <c r="X398" s="9"/>
      <c r="Y398" s="9"/>
      <c r="Z398" s="9"/>
      <c r="AA398" s="9"/>
      <c r="AB398" s="9"/>
    </row>
    <row r="399">
      <c r="A399" s="5">
        <v>42035.0</v>
      </c>
      <c r="B399" s="6">
        <v>2015.0</v>
      </c>
      <c r="C399" s="7" t="s">
        <v>30</v>
      </c>
      <c r="D399" s="7" t="s">
        <v>27</v>
      </c>
      <c r="E399" s="7" t="s">
        <v>39</v>
      </c>
      <c r="F399" s="6">
        <v>4862.0</v>
      </c>
      <c r="G399" s="6">
        <v>200193.61</v>
      </c>
      <c r="H399" s="6">
        <v>41.18</v>
      </c>
      <c r="I399" s="8">
        <v>41.91993829699712</v>
      </c>
      <c r="J399" s="6">
        <v>203814.74</v>
      </c>
      <c r="K399" s="6">
        <v>-3621.12</v>
      </c>
      <c r="L399" s="6">
        <v>-1.81</v>
      </c>
      <c r="M399" s="6">
        <f t="shared" si="1"/>
        <v>-0.744779926</v>
      </c>
      <c r="N399" s="6">
        <v>-1.81</v>
      </c>
      <c r="O399" s="7" t="s">
        <v>45</v>
      </c>
      <c r="P399" s="7" t="s">
        <v>46</v>
      </c>
      <c r="Q399" s="7" t="s">
        <v>25</v>
      </c>
      <c r="R399" s="10">
        <v>-2681.32</v>
      </c>
      <c r="S399" s="10">
        <v>-939.8</v>
      </c>
      <c r="T399" s="9" t="s">
        <v>29</v>
      </c>
      <c r="U399" s="9"/>
      <c r="V399" s="9"/>
      <c r="W399" s="9"/>
      <c r="X399" s="9"/>
      <c r="Y399" s="9"/>
      <c r="Z399" s="9"/>
      <c r="AA399" s="9"/>
      <c r="AB399" s="9"/>
    </row>
    <row r="400">
      <c r="A400" s="5">
        <v>42036.0</v>
      </c>
      <c r="B400" s="6">
        <v>2015.0</v>
      </c>
      <c r="C400" s="7" t="s">
        <v>68</v>
      </c>
      <c r="D400" s="7" t="s">
        <v>31</v>
      </c>
      <c r="E400" s="7" t="s">
        <v>41</v>
      </c>
      <c r="F400" s="6">
        <v>4165.0</v>
      </c>
      <c r="G400" s="6">
        <v>171469.93</v>
      </c>
      <c r="H400" s="6">
        <v>41.17</v>
      </c>
      <c r="I400" s="8">
        <v>41.9333637454982</v>
      </c>
      <c r="J400" s="6">
        <v>174652.46</v>
      </c>
      <c r="K400" s="6">
        <v>-3182.53</v>
      </c>
      <c r="L400" s="6">
        <v>-1.86</v>
      </c>
      <c r="M400" s="6">
        <f t="shared" si="1"/>
        <v>-0.7641128451</v>
      </c>
      <c r="N400" s="6">
        <v>-1.86</v>
      </c>
      <c r="O400" s="7" t="s">
        <v>45</v>
      </c>
      <c r="P400" s="7" t="s">
        <v>46</v>
      </c>
      <c r="Q400" s="7" t="s">
        <v>25</v>
      </c>
      <c r="R400" s="10">
        <v>-3621.12</v>
      </c>
      <c r="S400" s="10">
        <v>438.6</v>
      </c>
      <c r="T400" s="9" t="s">
        <v>33</v>
      </c>
      <c r="U400" s="9"/>
      <c r="V400" s="9"/>
      <c r="W400" s="9"/>
      <c r="X400" s="9"/>
      <c r="Y400" s="9"/>
      <c r="Z400" s="9"/>
      <c r="AA400" s="9"/>
      <c r="AB400" s="9"/>
    </row>
    <row r="401">
      <c r="A401" s="5">
        <v>42037.0</v>
      </c>
      <c r="B401" s="6">
        <v>2015.0</v>
      </c>
      <c r="C401" s="7" t="s">
        <v>68</v>
      </c>
      <c r="D401" s="7" t="s">
        <v>34</v>
      </c>
      <c r="E401" s="7" t="s">
        <v>22</v>
      </c>
      <c r="F401" s="6">
        <v>3685.0</v>
      </c>
      <c r="G401" s="6">
        <v>151737.22</v>
      </c>
      <c r="H401" s="6">
        <v>41.18</v>
      </c>
      <c r="I401" s="8">
        <v>41.831370420624154</v>
      </c>
      <c r="J401" s="6">
        <v>154148.6</v>
      </c>
      <c r="K401" s="6">
        <v>-2411.38</v>
      </c>
      <c r="L401" s="6">
        <v>-1.59</v>
      </c>
      <c r="M401" s="6">
        <f t="shared" si="1"/>
        <v>-0.6543772049</v>
      </c>
      <c r="N401" s="6">
        <v>-1.59</v>
      </c>
      <c r="O401" s="7" t="s">
        <v>45</v>
      </c>
      <c r="P401" s="7" t="s">
        <v>46</v>
      </c>
      <c r="Q401" s="7" t="s">
        <v>25</v>
      </c>
      <c r="R401" s="10">
        <v>-3182.53</v>
      </c>
      <c r="S401" s="10">
        <v>771.15</v>
      </c>
      <c r="T401" s="9" t="s">
        <v>33</v>
      </c>
      <c r="U401" s="9"/>
      <c r="V401" s="9"/>
      <c r="W401" s="9"/>
      <c r="X401" s="9"/>
      <c r="Y401" s="9"/>
      <c r="Z401" s="9"/>
      <c r="AA401" s="9"/>
      <c r="AB401" s="9"/>
    </row>
    <row r="402">
      <c r="A402" s="5">
        <v>42038.0</v>
      </c>
      <c r="B402" s="6">
        <v>2015.0</v>
      </c>
      <c r="C402" s="7" t="s">
        <v>68</v>
      </c>
      <c r="D402" s="7" t="s">
        <v>36</v>
      </c>
      <c r="E402" s="7" t="s">
        <v>28</v>
      </c>
      <c r="F402" s="6">
        <v>2479.0</v>
      </c>
      <c r="G402" s="6">
        <v>102072.44</v>
      </c>
      <c r="H402" s="6">
        <v>41.17</v>
      </c>
      <c r="I402" s="8">
        <v>41.80514723678903</v>
      </c>
      <c r="J402" s="6">
        <v>103634.96</v>
      </c>
      <c r="K402" s="6">
        <v>-1562.52</v>
      </c>
      <c r="L402" s="6">
        <v>-1.53</v>
      </c>
      <c r="M402" s="6">
        <f t="shared" si="1"/>
        <v>-0.6303025413</v>
      </c>
      <c r="N402" s="6">
        <v>-1.53</v>
      </c>
      <c r="O402" s="7" t="s">
        <v>45</v>
      </c>
      <c r="P402" s="7" t="s">
        <v>46</v>
      </c>
      <c r="Q402" s="7" t="s">
        <v>25</v>
      </c>
      <c r="R402" s="10">
        <v>-2411.38</v>
      </c>
      <c r="S402" s="10">
        <v>848.86</v>
      </c>
      <c r="T402" s="9" t="s">
        <v>33</v>
      </c>
      <c r="U402" s="9"/>
      <c r="V402" s="9"/>
      <c r="W402" s="9"/>
      <c r="X402" s="9"/>
      <c r="Y402" s="9"/>
      <c r="Z402" s="9"/>
      <c r="AA402" s="9"/>
      <c r="AB402" s="9"/>
    </row>
    <row r="403">
      <c r="A403" s="5">
        <v>42039.0</v>
      </c>
      <c r="B403" s="6">
        <v>2015.0</v>
      </c>
      <c r="C403" s="7" t="s">
        <v>68</v>
      </c>
      <c r="D403" s="7" t="s">
        <v>38</v>
      </c>
      <c r="E403" s="7" t="s">
        <v>32</v>
      </c>
      <c r="F403" s="6">
        <v>2005.0</v>
      </c>
      <c r="G403" s="6">
        <v>82514.11</v>
      </c>
      <c r="H403" s="6">
        <v>41.15</v>
      </c>
      <c r="I403" s="8">
        <v>41.51241396508728</v>
      </c>
      <c r="J403" s="6">
        <v>83232.39</v>
      </c>
      <c r="K403" s="6">
        <v>-718.29</v>
      </c>
      <c r="L403" s="6">
        <v>-0.87</v>
      </c>
      <c r="M403" s="6">
        <f t="shared" si="1"/>
        <v>-0.3582493766</v>
      </c>
      <c r="N403" s="6">
        <v>-0.87</v>
      </c>
      <c r="O403" s="7" t="s">
        <v>45</v>
      </c>
      <c r="P403" s="7" t="s">
        <v>46</v>
      </c>
      <c r="Q403" s="7" t="s">
        <v>25</v>
      </c>
      <c r="R403" s="10">
        <v>-1562.52</v>
      </c>
      <c r="S403" s="10">
        <v>844.23</v>
      </c>
      <c r="T403" s="9" t="s">
        <v>33</v>
      </c>
      <c r="U403" s="9"/>
      <c r="V403" s="9"/>
      <c r="W403" s="9"/>
      <c r="X403" s="9"/>
      <c r="Y403" s="9"/>
      <c r="Z403" s="9"/>
      <c r="AA403" s="9"/>
      <c r="AB403" s="9"/>
    </row>
    <row r="404">
      <c r="A404" s="5">
        <v>42040.0</v>
      </c>
      <c r="B404" s="6">
        <v>2015.0</v>
      </c>
      <c r="C404" s="7" t="s">
        <v>68</v>
      </c>
      <c r="D404" s="7" t="s">
        <v>40</v>
      </c>
      <c r="E404" s="7" t="s">
        <v>35</v>
      </c>
      <c r="F404" s="6">
        <v>1122.0</v>
      </c>
      <c r="G404" s="6">
        <v>46211.33</v>
      </c>
      <c r="H404" s="6">
        <v>41.19</v>
      </c>
      <c r="I404" s="8">
        <v>41.36122994652407</v>
      </c>
      <c r="J404" s="6">
        <v>46407.3</v>
      </c>
      <c r="K404" s="6">
        <v>-195.97</v>
      </c>
      <c r="L404" s="6">
        <v>-0.42</v>
      </c>
      <c r="M404" s="6">
        <f t="shared" si="1"/>
        <v>-0.1746613191</v>
      </c>
      <c r="N404" s="6">
        <v>-0.42</v>
      </c>
      <c r="O404" s="7" t="s">
        <v>45</v>
      </c>
      <c r="P404" s="7" t="s">
        <v>46</v>
      </c>
      <c r="Q404" s="7" t="s">
        <v>25</v>
      </c>
      <c r="R404" s="10">
        <v>-718.29</v>
      </c>
      <c r="S404" s="10">
        <v>522.32</v>
      </c>
      <c r="T404" s="9" t="s">
        <v>33</v>
      </c>
      <c r="U404" s="9"/>
      <c r="V404" s="9"/>
      <c r="W404" s="9"/>
      <c r="X404" s="9"/>
      <c r="Y404" s="9"/>
      <c r="Z404" s="9"/>
      <c r="AA404" s="9"/>
      <c r="AB404" s="9"/>
    </row>
    <row r="405">
      <c r="A405" s="5">
        <v>42041.0</v>
      </c>
      <c r="B405" s="6">
        <v>2015.0</v>
      </c>
      <c r="C405" s="7" t="s">
        <v>68</v>
      </c>
      <c r="D405" s="7" t="s">
        <v>42</v>
      </c>
      <c r="E405" s="7" t="s">
        <v>37</v>
      </c>
      <c r="F405" s="6">
        <v>2082.0</v>
      </c>
      <c r="G405" s="6">
        <v>85730.41</v>
      </c>
      <c r="H405" s="6">
        <v>41.18</v>
      </c>
      <c r="I405" s="8">
        <v>41.19390489913545</v>
      </c>
      <c r="J405" s="6">
        <v>85765.71</v>
      </c>
      <c r="K405" s="6">
        <v>-35.29</v>
      </c>
      <c r="L405" s="6">
        <v>-0.04</v>
      </c>
      <c r="M405" s="6">
        <f t="shared" si="1"/>
        <v>-0.01695004803</v>
      </c>
      <c r="N405" s="6">
        <v>-0.04</v>
      </c>
      <c r="O405" s="7" t="s">
        <v>45</v>
      </c>
      <c r="P405" s="7" t="s">
        <v>46</v>
      </c>
      <c r="Q405" s="7" t="s">
        <v>25</v>
      </c>
      <c r="R405" s="10">
        <v>-195.97</v>
      </c>
      <c r="S405" s="10">
        <v>160.67</v>
      </c>
      <c r="T405" s="9" t="s">
        <v>33</v>
      </c>
      <c r="U405" s="9"/>
      <c r="V405" s="9"/>
      <c r="W405" s="9"/>
      <c r="X405" s="9"/>
      <c r="Y405" s="9"/>
      <c r="Z405" s="9"/>
      <c r="AA405" s="9"/>
      <c r="AB405" s="9"/>
    </row>
    <row r="406">
      <c r="A406" s="5">
        <v>42042.0</v>
      </c>
      <c r="B406" s="6">
        <v>2015.0</v>
      </c>
      <c r="C406" s="7" t="s">
        <v>68</v>
      </c>
      <c r="D406" s="7" t="s">
        <v>43</v>
      </c>
      <c r="E406" s="7" t="s">
        <v>39</v>
      </c>
      <c r="F406" s="6">
        <v>2573.0</v>
      </c>
      <c r="G406" s="6">
        <v>105918.29</v>
      </c>
      <c r="H406" s="6">
        <v>41.17</v>
      </c>
      <c r="I406" s="8">
        <v>41.065899727944036</v>
      </c>
      <c r="J406" s="6">
        <v>105662.56</v>
      </c>
      <c r="K406" s="6">
        <v>255.74</v>
      </c>
      <c r="L406" s="6">
        <v>0.24</v>
      </c>
      <c r="M406" s="6">
        <f t="shared" si="1"/>
        <v>0.09939370385</v>
      </c>
      <c r="N406" s="6">
        <v>0.24</v>
      </c>
      <c r="O406" s="7" t="s">
        <v>45</v>
      </c>
      <c r="P406" s="7" t="s">
        <v>46</v>
      </c>
      <c r="Q406" s="7" t="s">
        <v>25</v>
      </c>
      <c r="R406" s="10">
        <v>-35.29</v>
      </c>
      <c r="S406" s="10">
        <v>291.03</v>
      </c>
      <c r="T406" s="9" t="s">
        <v>33</v>
      </c>
      <c r="U406" s="9"/>
      <c r="V406" s="9"/>
      <c r="W406" s="9"/>
      <c r="X406" s="9"/>
      <c r="Y406" s="9"/>
      <c r="Z406" s="9"/>
      <c r="AA406" s="9"/>
      <c r="AB406" s="9"/>
    </row>
    <row r="407">
      <c r="A407" s="5">
        <v>42043.0</v>
      </c>
      <c r="B407" s="6">
        <v>2015.0</v>
      </c>
      <c r="C407" s="7" t="s">
        <v>68</v>
      </c>
      <c r="D407" s="7" t="s">
        <v>44</v>
      </c>
      <c r="E407" s="7" t="s">
        <v>41</v>
      </c>
      <c r="F407" s="6">
        <v>1774.0</v>
      </c>
      <c r="G407" s="6">
        <v>73041.66</v>
      </c>
      <c r="H407" s="6">
        <v>41.17</v>
      </c>
      <c r="I407" s="8">
        <v>41.17600338218715</v>
      </c>
      <c r="J407" s="6">
        <v>73046.23</v>
      </c>
      <c r="K407" s="6">
        <v>-4.57</v>
      </c>
      <c r="L407" s="6">
        <v>-0.01</v>
      </c>
      <c r="M407" s="6">
        <f t="shared" si="1"/>
        <v>-0.002576099211</v>
      </c>
      <c r="N407" s="6">
        <v>-0.01</v>
      </c>
      <c r="O407" s="7" t="s">
        <v>45</v>
      </c>
      <c r="P407" s="7" t="s">
        <v>46</v>
      </c>
      <c r="Q407" s="7" t="s">
        <v>25</v>
      </c>
      <c r="R407" s="10">
        <v>255.74</v>
      </c>
      <c r="S407" s="10">
        <v>-260.31</v>
      </c>
      <c r="T407" s="9" t="s">
        <v>29</v>
      </c>
      <c r="U407" s="9"/>
      <c r="V407" s="9"/>
      <c r="W407" s="9"/>
      <c r="X407" s="9"/>
      <c r="Y407" s="9"/>
      <c r="Z407" s="9"/>
      <c r="AA407" s="9"/>
      <c r="AB407" s="9"/>
    </row>
    <row r="408">
      <c r="A408" s="5">
        <v>42044.0</v>
      </c>
      <c r="B408" s="6">
        <v>2015.0</v>
      </c>
      <c r="C408" s="7" t="s">
        <v>68</v>
      </c>
      <c r="D408" s="7" t="s">
        <v>47</v>
      </c>
      <c r="E408" s="7" t="s">
        <v>22</v>
      </c>
      <c r="F408" s="6">
        <v>2378.0</v>
      </c>
      <c r="G408" s="6">
        <v>97908.55</v>
      </c>
      <c r="H408" s="6">
        <v>41.17</v>
      </c>
      <c r="I408" s="8">
        <v>40.8317661900757</v>
      </c>
      <c r="J408" s="6">
        <v>97097.94</v>
      </c>
      <c r="K408" s="6">
        <v>810.61</v>
      </c>
      <c r="L408" s="6">
        <v>0.83</v>
      </c>
      <c r="M408" s="6">
        <f t="shared" si="1"/>
        <v>0.3408788898</v>
      </c>
      <c r="N408" s="6">
        <v>0.83</v>
      </c>
      <c r="O408" s="7" t="s">
        <v>45</v>
      </c>
      <c r="P408" s="7" t="s">
        <v>46</v>
      </c>
      <c r="Q408" s="7" t="s">
        <v>25</v>
      </c>
      <c r="R408" s="10">
        <v>-4.57</v>
      </c>
      <c r="S408" s="10">
        <v>815.18</v>
      </c>
      <c r="T408" s="9" t="s">
        <v>33</v>
      </c>
      <c r="U408" s="9"/>
      <c r="V408" s="9"/>
      <c r="W408" s="9"/>
      <c r="X408" s="9"/>
      <c r="Y408" s="9"/>
      <c r="Z408" s="9"/>
      <c r="AA408" s="9"/>
      <c r="AB408" s="9"/>
    </row>
    <row r="409">
      <c r="A409" s="5">
        <v>42045.0</v>
      </c>
      <c r="B409" s="6">
        <v>2015.0</v>
      </c>
      <c r="C409" s="7" t="s">
        <v>68</v>
      </c>
      <c r="D409" s="7" t="s">
        <v>48</v>
      </c>
      <c r="E409" s="7" t="s">
        <v>28</v>
      </c>
      <c r="F409" s="6">
        <v>3677.0</v>
      </c>
      <c r="G409" s="6">
        <v>138667.42</v>
      </c>
      <c r="H409" s="6">
        <v>37.71</v>
      </c>
      <c r="I409" s="8">
        <v>40.39239869458798</v>
      </c>
      <c r="J409" s="6">
        <v>148522.85</v>
      </c>
      <c r="K409" s="6">
        <v>-9855.43</v>
      </c>
      <c r="L409" s="6">
        <v>-7.11</v>
      </c>
      <c r="M409" s="6">
        <f t="shared" si="1"/>
        <v>-2.680290998</v>
      </c>
      <c r="N409" s="6">
        <v>-7.11</v>
      </c>
      <c r="O409" s="7" t="s">
        <v>45</v>
      </c>
      <c r="P409" s="7" t="s">
        <v>46</v>
      </c>
      <c r="Q409" s="7" t="s">
        <v>25</v>
      </c>
      <c r="R409" s="10">
        <v>810.61</v>
      </c>
      <c r="S409" s="10">
        <v>-10666.04</v>
      </c>
      <c r="T409" s="9" t="s">
        <v>29</v>
      </c>
      <c r="U409" s="9"/>
      <c r="V409" s="9"/>
      <c r="W409" s="9"/>
      <c r="X409" s="9"/>
      <c r="Y409" s="9"/>
      <c r="Z409" s="9"/>
      <c r="AA409" s="9"/>
      <c r="AB409" s="9"/>
    </row>
    <row r="410">
      <c r="A410" s="5">
        <v>42046.0</v>
      </c>
      <c r="B410" s="6">
        <v>2015.0</v>
      </c>
      <c r="C410" s="7" t="s">
        <v>68</v>
      </c>
      <c r="D410" s="7" t="s">
        <v>49</v>
      </c>
      <c r="E410" s="7" t="s">
        <v>32</v>
      </c>
      <c r="F410" s="6">
        <v>4299.0</v>
      </c>
      <c r="G410" s="6">
        <v>162162.1</v>
      </c>
      <c r="H410" s="6">
        <v>37.72</v>
      </c>
      <c r="I410" s="8">
        <v>40.39586648057688</v>
      </c>
      <c r="J410" s="6">
        <v>173661.83</v>
      </c>
      <c r="K410" s="6">
        <v>-11499.72</v>
      </c>
      <c r="L410" s="6">
        <v>-7.09</v>
      </c>
      <c r="M410" s="6">
        <f t="shared" si="1"/>
        <v>-2.674975576</v>
      </c>
      <c r="N410" s="6">
        <v>-7.09</v>
      </c>
      <c r="O410" s="7" t="s">
        <v>45</v>
      </c>
      <c r="P410" s="7" t="s">
        <v>46</v>
      </c>
      <c r="Q410" s="7" t="s">
        <v>25</v>
      </c>
      <c r="R410" s="10">
        <v>-9855.43</v>
      </c>
      <c r="S410" s="10">
        <v>-1644.29</v>
      </c>
      <c r="T410" s="9" t="s">
        <v>29</v>
      </c>
      <c r="U410" s="9"/>
      <c r="V410" s="9"/>
      <c r="W410" s="9"/>
      <c r="X410" s="9"/>
      <c r="Y410" s="9"/>
      <c r="Z410" s="9"/>
      <c r="AA410" s="9"/>
      <c r="AB410" s="9"/>
    </row>
    <row r="411">
      <c r="A411" s="5">
        <v>42047.0</v>
      </c>
      <c r="B411" s="6">
        <v>2015.0</v>
      </c>
      <c r="C411" s="7" t="s">
        <v>68</v>
      </c>
      <c r="D411" s="7" t="s">
        <v>50</v>
      </c>
      <c r="E411" s="7" t="s">
        <v>35</v>
      </c>
      <c r="F411" s="6">
        <v>3674.0</v>
      </c>
      <c r="G411" s="6">
        <v>138520.13</v>
      </c>
      <c r="H411" s="6">
        <v>37.7</v>
      </c>
      <c r="I411" s="8">
        <v>40.216750136091456</v>
      </c>
      <c r="J411" s="6">
        <v>147756.34</v>
      </c>
      <c r="K411" s="6">
        <v>-9236.22</v>
      </c>
      <c r="L411" s="6">
        <v>-6.67</v>
      </c>
      <c r="M411" s="6">
        <f t="shared" si="1"/>
        <v>-2.513941208</v>
      </c>
      <c r="N411" s="6">
        <v>-6.67</v>
      </c>
      <c r="O411" s="7" t="s">
        <v>45</v>
      </c>
      <c r="P411" s="7" t="s">
        <v>46</v>
      </c>
      <c r="Q411" s="7" t="s">
        <v>25</v>
      </c>
      <c r="R411" s="10">
        <v>-11499.72</v>
      </c>
      <c r="S411" s="10">
        <v>2263.51</v>
      </c>
      <c r="T411" s="9" t="s">
        <v>33</v>
      </c>
      <c r="U411" s="9"/>
      <c r="V411" s="9"/>
      <c r="W411" s="9"/>
      <c r="X411" s="9"/>
      <c r="Y411" s="9"/>
      <c r="Z411" s="9"/>
      <c r="AA411" s="9"/>
      <c r="AB411" s="9"/>
    </row>
    <row r="412">
      <c r="A412" s="5">
        <v>42048.0</v>
      </c>
      <c r="B412" s="6">
        <v>2015.0</v>
      </c>
      <c r="C412" s="7" t="s">
        <v>68</v>
      </c>
      <c r="D412" s="7" t="s">
        <v>51</v>
      </c>
      <c r="E412" s="7" t="s">
        <v>37</v>
      </c>
      <c r="F412" s="6">
        <v>9505.0</v>
      </c>
      <c r="G412" s="6">
        <v>358597.43</v>
      </c>
      <c r="H412" s="6">
        <v>37.73</v>
      </c>
      <c r="I412" s="8">
        <v>40.23641031036297</v>
      </c>
      <c r="J412" s="6">
        <v>382447.08</v>
      </c>
      <c r="K412" s="6">
        <v>-23849.65</v>
      </c>
      <c r="L412" s="6">
        <v>-6.65</v>
      </c>
      <c r="M412" s="6">
        <f t="shared" si="1"/>
        <v>-2.509168858</v>
      </c>
      <c r="N412" s="6">
        <v>-6.65</v>
      </c>
      <c r="O412" s="7" t="s">
        <v>45</v>
      </c>
      <c r="P412" s="7" t="s">
        <v>46</v>
      </c>
      <c r="Q412" s="7" t="s">
        <v>25</v>
      </c>
      <c r="R412" s="10">
        <v>-9236.22</v>
      </c>
      <c r="S412" s="10">
        <v>-14613.44</v>
      </c>
      <c r="T412" s="9" t="s">
        <v>29</v>
      </c>
      <c r="U412" s="9"/>
      <c r="V412" s="9"/>
      <c r="W412" s="9"/>
      <c r="X412" s="9"/>
      <c r="Y412" s="9"/>
      <c r="Z412" s="9"/>
      <c r="AA412" s="9"/>
      <c r="AB412" s="9"/>
    </row>
    <row r="413">
      <c r="A413" s="5">
        <v>42049.0</v>
      </c>
      <c r="B413" s="6">
        <v>2015.0</v>
      </c>
      <c r="C413" s="7" t="s">
        <v>68</v>
      </c>
      <c r="D413" s="7" t="s">
        <v>52</v>
      </c>
      <c r="E413" s="7" t="s">
        <v>39</v>
      </c>
      <c r="F413" s="6">
        <v>11237.0</v>
      </c>
      <c r="G413" s="6">
        <v>424009.88</v>
      </c>
      <c r="H413" s="6">
        <v>37.73</v>
      </c>
      <c r="I413" s="8">
        <v>40.184037554507434</v>
      </c>
      <c r="J413" s="6">
        <v>451548.03</v>
      </c>
      <c r="K413" s="6">
        <v>-27538.15</v>
      </c>
      <c r="L413" s="6">
        <v>-6.49</v>
      </c>
      <c r="M413" s="6">
        <f t="shared" si="1"/>
        <v>-2.450667438</v>
      </c>
      <c r="N413" s="6">
        <v>-6.49</v>
      </c>
      <c r="O413" s="7" t="s">
        <v>45</v>
      </c>
      <c r="P413" s="7" t="s">
        <v>46</v>
      </c>
      <c r="Q413" s="7" t="s">
        <v>25</v>
      </c>
      <c r="R413" s="10">
        <v>-23849.65</v>
      </c>
      <c r="S413" s="10">
        <v>-3688.49</v>
      </c>
      <c r="T413" s="9" t="s">
        <v>29</v>
      </c>
      <c r="U413" s="9"/>
      <c r="V413" s="9"/>
      <c r="W413" s="9"/>
      <c r="X413" s="9"/>
      <c r="Y413" s="9"/>
      <c r="Z413" s="9"/>
      <c r="AA413" s="9"/>
      <c r="AB413" s="9"/>
    </row>
    <row r="414">
      <c r="A414" s="5">
        <v>42050.0</v>
      </c>
      <c r="B414" s="6">
        <v>2015.0</v>
      </c>
      <c r="C414" s="7" t="s">
        <v>68</v>
      </c>
      <c r="D414" s="7" t="s">
        <v>53</v>
      </c>
      <c r="E414" s="7" t="s">
        <v>41</v>
      </c>
      <c r="F414" s="6">
        <v>5406.0</v>
      </c>
      <c r="G414" s="6">
        <v>203861.47</v>
      </c>
      <c r="H414" s="6">
        <v>37.71</v>
      </c>
      <c r="I414" s="8">
        <v>40.152722900480946</v>
      </c>
      <c r="J414" s="6">
        <v>217065.62</v>
      </c>
      <c r="K414" s="6">
        <v>-13204.14</v>
      </c>
      <c r="L414" s="6">
        <v>-6.48</v>
      </c>
      <c r="M414" s="6">
        <f t="shared" si="1"/>
        <v>-2.442497225</v>
      </c>
      <c r="N414" s="6">
        <v>-6.48</v>
      </c>
      <c r="O414" s="7" t="s">
        <v>45</v>
      </c>
      <c r="P414" s="7" t="s">
        <v>46</v>
      </c>
      <c r="Q414" s="7" t="s">
        <v>25</v>
      </c>
      <c r="R414" s="10">
        <v>-27538.15</v>
      </c>
      <c r="S414" s="10">
        <v>14334.0</v>
      </c>
      <c r="T414" s="9" t="s">
        <v>33</v>
      </c>
      <c r="U414" s="9"/>
      <c r="V414" s="9"/>
      <c r="W414" s="9"/>
      <c r="X414" s="9"/>
      <c r="Y414" s="9"/>
      <c r="Z414" s="9"/>
      <c r="AA414" s="9"/>
      <c r="AB414" s="9"/>
    </row>
    <row r="415">
      <c r="A415" s="5">
        <v>42051.0</v>
      </c>
      <c r="B415" s="6">
        <v>2015.0</v>
      </c>
      <c r="C415" s="7" t="s">
        <v>68</v>
      </c>
      <c r="D415" s="7" t="s">
        <v>54</v>
      </c>
      <c r="E415" s="7" t="s">
        <v>22</v>
      </c>
      <c r="F415" s="6">
        <v>5846.0</v>
      </c>
      <c r="G415" s="6">
        <v>220506.21</v>
      </c>
      <c r="H415" s="6">
        <v>37.72</v>
      </c>
      <c r="I415" s="8">
        <v>40.15108108108108</v>
      </c>
      <c r="J415" s="6">
        <v>234723.22</v>
      </c>
      <c r="K415" s="6">
        <v>-14217.01</v>
      </c>
      <c r="L415" s="6">
        <v>-6.45</v>
      </c>
      <c r="M415" s="6">
        <f t="shared" si="1"/>
        <v>-2.431920972</v>
      </c>
      <c r="N415" s="6">
        <v>-6.45</v>
      </c>
      <c r="O415" s="7" t="s">
        <v>45</v>
      </c>
      <c r="P415" s="7" t="s">
        <v>46</v>
      </c>
      <c r="Q415" s="7" t="s">
        <v>25</v>
      </c>
      <c r="R415" s="10">
        <v>-13204.14</v>
      </c>
      <c r="S415" s="10">
        <v>-1012.87</v>
      </c>
      <c r="T415" s="9" t="s">
        <v>29</v>
      </c>
      <c r="U415" s="9"/>
      <c r="V415" s="9"/>
      <c r="W415" s="9"/>
      <c r="X415" s="9"/>
      <c r="Y415" s="9"/>
      <c r="Z415" s="9"/>
      <c r="AA415" s="9"/>
      <c r="AB415" s="9"/>
    </row>
    <row r="416">
      <c r="A416" s="5">
        <v>42052.0</v>
      </c>
      <c r="B416" s="6">
        <v>2015.0</v>
      </c>
      <c r="C416" s="7" t="s">
        <v>68</v>
      </c>
      <c r="D416" s="7" t="s">
        <v>55</v>
      </c>
      <c r="E416" s="7" t="s">
        <v>28</v>
      </c>
      <c r="F416" s="6">
        <v>3713.0</v>
      </c>
      <c r="G416" s="6">
        <v>139935.94</v>
      </c>
      <c r="H416" s="6">
        <v>37.69</v>
      </c>
      <c r="I416" s="8">
        <v>40.047815782386216</v>
      </c>
      <c r="J416" s="6">
        <v>148697.54</v>
      </c>
      <c r="K416" s="6">
        <v>-8761.61</v>
      </c>
      <c r="L416" s="6">
        <v>-6.26</v>
      </c>
      <c r="M416" s="6">
        <f t="shared" si="1"/>
        <v>-2.359711823</v>
      </c>
      <c r="N416" s="6">
        <v>-6.26</v>
      </c>
      <c r="O416" s="7" t="s">
        <v>45</v>
      </c>
      <c r="P416" s="7" t="s">
        <v>46</v>
      </c>
      <c r="Q416" s="7" t="s">
        <v>25</v>
      </c>
      <c r="R416" s="10">
        <v>-14217.01</v>
      </c>
      <c r="S416" s="10">
        <v>5455.4</v>
      </c>
      <c r="T416" s="9" t="s">
        <v>33</v>
      </c>
      <c r="U416" s="9"/>
      <c r="V416" s="9"/>
      <c r="W416" s="9"/>
      <c r="X416" s="9"/>
      <c r="Y416" s="9"/>
      <c r="Z416" s="9"/>
      <c r="AA416" s="9"/>
      <c r="AB416" s="9"/>
    </row>
    <row r="417">
      <c r="A417" s="5">
        <v>42053.0</v>
      </c>
      <c r="B417" s="6">
        <v>2015.0</v>
      </c>
      <c r="C417" s="7" t="s">
        <v>68</v>
      </c>
      <c r="D417" s="7" t="s">
        <v>56</v>
      </c>
      <c r="E417" s="7" t="s">
        <v>32</v>
      </c>
      <c r="F417" s="6">
        <v>4270.0</v>
      </c>
      <c r="G417" s="6">
        <v>161064.75</v>
      </c>
      <c r="H417" s="6">
        <v>37.72</v>
      </c>
      <c r="I417" s="8">
        <v>39.98580093676815</v>
      </c>
      <c r="J417" s="6">
        <v>170739.37</v>
      </c>
      <c r="K417" s="6">
        <v>-9674.61</v>
      </c>
      <c r="L417" s="6">
        <v>-6.01</v>
      </c>
      <c r="M417" s="6">
        <f t="shared" si="1"/>
        <v>-2.265716628</v>
      </c>
      <c r="N417" s="6">
        <v>-6.01</v>
      </c>
      <c r="O417" s="7" t="s">
        <v>45</v>
      </c>
      <c r="P417" s="7" t="s">
        <v>46</v>
      </c>
      <c r="Q417" s="7" t="s">
        <v>25</v>
      </c>
      <c r="R417" s="10">
        <v>-8761.61</v>
      </c>
      <c r="S417" s="10">
        <v>-913.01</v>
      </c>
      <c r="T417" s="9" t="s">
        <v>29</v>
      </c>
      <c r="U417" s="9"/>
      <c r="V417" s="9"/>
      <c r="W417" s="9"/>
      <c r="X417" s="9"/>
      <c r="Y417" s="9"/>
      <c r="Z417" s="9"/>
      <c r="AA417" s="9"/>
      <c r="AB417" s="9"/>
    </row>
    <row r="418">
      <c r="A418" s="5">
        <v>42054.0</v>
      </c>
      <c r="B418" s="6">
        <v>2015.0</v>
      </c>
      <c r="C418" s="7" t="s">
        <v>68</v>
      </c>
      <c r="D418" s="7" t="s">
        <v>57</v>
      </c>
      <c r="E418" s="7" t="s">
        <v>35</v>
      </c>
      <c r="F418" s="6">
        <v>3827.0</v>
      </c>
      <c r="G418" s="6">
        <v>144328.55</v>
      </c>
      <c r="H418" s="6">
        <v>37.71</v>
      </c>
      <c r="I418" s="8">
        <v>39.93313561536451</v>
      </c>
      <c r="J418" s="6">
        <v>152824.11</v>
      </c>
      <c r="K418" s="6">
        <v>-8495.57</v>
      </c>
      <c r="L418" s="6">
        <v>-5.89</v>
      </c>
      <c r="M418" s="6">
        <f t="shared" si="1"/>
        <v>-2.219903319</v>
      </c>
      <c r="N418" s="6">
        <v>-5.89</v>
      </c>
      <c r="O418" s="7" t="s">
        <v>45</v>
      </c>
      <c r="P418" s="7" t="s">
        <v>46</v>
      </c>
      <c r="Q418" s="7" t="s">
        <v>25</v>
      </c>
      <c r="R418" s="10">
        <v>-9674.61</v>
      </c>
      <c r="S418" s="10">
        <v>1179.04</v>
      </c>
      <c r="T418" s="9" t="s">
        <v>33</v>
      </c>
      <c r="U418" s="9"/>
      <c r="V418" s="9"/>
      <c r="W418" s="9"/>
      <c r="X418" s="9"/>
      <c r="Y418" s="9"/>
      <c r="Z418" s="9"/>
      <c r="AA418" s="9"/>
      <c r="AB418" s="9"/>
    </row>
    <row r="419">
      <c r="A419" s="5">
        <v>42055.0</v>
      </c>
      <c r="B419" s="6">
        <v>2015.0</v>
      </c>
      <c r="C419" s="7" t="s">
        <v>68</v>
      </c>
      <c r="D419" s="7" t="s">
        <v>58</v>
      </c>
      <c r="E419" s="7" t="s">
        <v>37</v>
      </c>
      <c r="F419" s="6">
        <v>7770.0</v>
      </c>
      <c r="G419" s="6">
        <v>293071.76</v>
      </c>
      <c r="H419" s="6">
        <v>37.72</v>
      </c>
      <c r="I419" s="8">
        <v>39.927976833976835</v>
      </c>
      <c r="J419" s="6">
        <v>310240.38</v>
      </c>
      <c r="K419" s="6">
        <v>-17168.62</v>
      </c>
      <c r="L419" s="6">
        <v>-5.86</v>
      </c>
      <c r="M419" s="6">
        <f t="shared" si="1"/>
        <v>-2.209603604</v>
      </c>
      <c r="N419" s="6">
        <v>-5.86</v>
      </c>
      <c r="O419" s="7" t="s">
        <v>45</v>
      </c>
      <c r="P419" s="7" t="s">
        <v>46</v>
      </c>
      <c r="Q419" s="7" t="s">
        <v>25</v>
      </c>
      <c r="R419" s="10">
        <v>-8495.57</v>
      </c>
      <c r="S419" s="10">
        <v>-8673.05</v>
      </c>
      <c r="T419" s="9" t="s">
        <v>29</v>
      </c>
      <c r="U419" s="9"/>
      <c r="V419" s="9"/>
      <c r="W419" s="9"/>
      <c r="X419" s="9"/>
      <c r="Y419" s="9"/>
      <c r="Z419" s="9"/>
      <c r="AA419" s="9"/>
      <c r="AB419" s="9"/>
    </row>
    <row r="420">
      <c r="A420" s="5">
        <v>42056.0</v>
      </c>
      <c r="B420" s="6">
        <v>2015.0</v>
      </c>
      <c r="C420" s="7" t="s">
        <v>68</v>
      </c>
      <c r="D420" s="7" t="s">
        <v>59</v>
      </c>
      <c r="E420" s="7" t="s">
        <v>39</v>
      </c>
      <c r="F420" s="6">
        <v>7102.0</v>
      </c>
      <c r="G420" s="6">
        <v>267782.15</v>
      </c>
      <c r="H420" s="6">
        <v>37.71</v>
      </c>
      <c r="I420" s="8">
        <v>39.9085243593354</v>
      </c>
      <c r="J420" s="6">
        <v>283430.34</v>
      </c>
      <c r="K420" s="6">
        <v>-15648.18</v>
      </c>
      <c r="L420" s="6">
        <v>-5.84</v>
      </c>
      <c r="M420" s="6">
        <f t="shared" si="1"/>
        <v>-2.203348353</v>
      </c>
      <c r="N420" s="6">
        <v>-5.84</v>
      </c>
      <c r="O420" s="7" t="s">
        <v>45</v>
      </c>
      <c r="P420" s="7" t="s">
        <v>46</v>
      </c>
      <c r="Q420" s="7" t="s">
        <v>25</v>
      </c>
      <c r="R420" s="10">
        <v>-17168.62</v>
      </c>
      <c r="S420" s="10">
        <v>1520.44</v>
      </c>
      <c r="T420" s="9" t="s">
        <v>33</v>
      </c>
      <c r="U420" s="9"/>
      <c r="V420" s="9"/>
      <c r="W420" s="9"/>
      <c r="X420" s="9"/>
      <c r="Y420" s="9"/>
      <c r="Z420" s="9"/>
      <c r="AA420" s="9"/>
      <c r="AB420" s="9"/>
    </row>
    <row r="421">
      <c r="A421" s="5">
        <v>42057.0</v>
      </c>
      <c r="B421" s="6">
        <v>2015.0</v>
      </c>
      <c r="C421" s="7" t="s">
        <v>68</v>
      </c>
      <c r="D421" s="7" t="s">
        <v>60</v>
      </c>
      <c r="E421" s="7" t="s">
        <v>41</v>
      </c>
      <c r="F421" s="6">
        <v>3608.0</v>
      </c>
      <c r="G421" s="6">
        <v>136052.69</v>
      </c>
      <c r="H421" s="6">
        <v>37.71</v>
      </c>
      <c r="I421" s="8">
        <v>39.916884700665186</v>
      </c>
      <c r="J421" s="6">
        <v>144020.12</v>
      </c>
      <c r="K421" s="6">
        <v>-7967.43</v>
      </c>
      <c r="L421" s="6">
        <v>-5.86</v>
      </c>
      <c r="M421" s="6">
        <f t="shared" si="1"/>
        <v>-2.208267738</v>
      </c>
      <c r="N421" s="6">
        <v>-5.86</v>
      </c>
      <c r="O421" s="7" t="s">
        <v>45</v>
      </c>
      <c r="P421" s="7" t="s">
        <v>46</v>
      </c>
      <c r="Q421" s="7" t="s">
        <v>25</v>
      </c>
      <c r="R421" s="10">
        <v>-15648.18</v>
      </c>
      <c r="S421" s="10">
        <v>7680.75</v>
      </c>
      <c r="T421" s="9" t="s">
        <v>33</v>
      </c>
      <c r="U421" s="9"/>
      <c r="V421" s="9"/>
      <c r="W421" s="9"/>
      <c r="X421" s="9"/>
      <c r="Y421" s="9"/>
      <c r="Z421" s="9"/>
      <c r="AA421" s="9"/>
      <c r="AB421" s="9"/>
    </row>
    <row r="422">
      <c r="A422" s="5">
        <v>42058.0</v>
      </c>
      <c r="B422" s="6">
        <v>2015.0</v>
      </c>
      <c r="C422" s="7" t="s">
        <v>68</v>
      </c>
      <c r="D422" s="7" t="s">
        <v>61</v>
      </c>
      <c r="E422" s="7" t="s">
        <v>22</v>
      </c>
      <c r="F422" s="6">
        <v>2150.0</v>
      </c>
      <c r="G422" s="6">
        <v>86703.31</v>
      </c>
      <c r="H422" s="6">
        <v>40.33</v>
      </c>
      <c r="I422" s="8">
        <v>39.87486976744186</v>
      </c>
      <c r="J422" s="6">
        <v>85730.97</v>
      </c>
      <c r="K422" s="6">
        <v>972.35</v>
      </c>
      <c r="L422" s="6">
        <v>1.12</v>
      </c>
      <c r="M422" s="6">
        <f t="shared" si="1"/>
        <v>0.452255814</v>
      </c>
      <c r="N422" s="6">
        <v>1.12</v>
      </c>
      <c r="O422" s="7" t="s">
        <v>45</v>
      </c>
      <c r="P422" s="7" t="s">
        <v>46</v>
      </c>
      <c r="Q422" s="7" t="s">
        <v>25</v>
      </c>
      <c r="R422" s="10">
        <v>-7967.43</v>
      </c>
      <c r="S422" s="10">
        <v>8939.78</v>
      </c>
      <c r="T422" s="9" t="s">
        <v>33</v>
      </c>
      <c r="U422" s="9"/>
      <c r="V422" s="9"/>
      <c r="W422" s="9"/>
      <c r="X422" s="9"/>
      <c r="Y422" s="9"/>
      <c r="Z422" s="9"/>
      <c r="AA422" s="9"/>
      <c r="AB422" s="9"/>
    </row>
    <row r="423">
      <c r="A423" s="5">
        <v>42059.0</v>
      </c>
      <c r="B423" s="6">
        <v>2015.0</v>
      </c>
      <c r="C423" s="7" t="s">
        <v>68</v>
      </c>
      <c r="D423" s="7" t="s">
        <v>62</v>
      </c>
      <c r="E423" s="7" t="s">
        <v>28</v>
      </c>
      <c r="F423" s="6">
        <v>2530.0</v>
      </c>
      <c r="G423" s="6">
        <v>95474.36</v>
      </c>
      <c r="H423" s="6">
        <v>37.74</v>
      </c>
      <c r="I423" s="8">
        <v>39.86858498023716</v>
      </c>
      <c r="J423" s="6">
        <v>100867.52</v>
      </c>
      <c r="K423" s="6">
        <v>-5393.17</v>
      </c>
      <c r="L423" s="6">
        <v>-5.65</v>
      </c>
      <c r="M423" s="6">
        <f t="shared" si="1"/>
        <v>-2.131687747</v>
      </c>
      <c r="N423" s="6">
        <v>-5.65</v>
      </c>
      <c r="O423" s="7" t="s">
        <v>45</v>
      </c>
      <c r="P423" s="7" t="s">
        <v>46</v>
      </c>
      <c r="Q423" s="7" t="s">
        <v>25</v>
      </c>
      <c r="R423" s="10">
        <v>972.35</v>
      </c>
      <c r="S423" s="10">
        <v>-6365.51</v>
      </c>
      <c r="T423" s="9" t="s">
        <v>29</v>
      </c>
      <c r="U423" s="9"/>
      <c r="V423" s="9"/>
      <c r="W423" s="9"/>
      <c r="X423" s="9"/>
      <c r="Y423" s="9"/>
      <c r="Z423" s="9"/>
      <c r="AA423" s="9"/>
      <c r="AB423" s="9"/>
    </row>
    <row r="424">
      <c r="A424" s="5">
        <v>42060.0</v>
      </c>
      <c r="B424" s="6">
        <v>2015.0</v>
      </c>
      <c r="C424" s="7" t="s">
        <v>68</v>
      </c>
      <c r="D424" s="7" t="s">
        <v>63</v>
      </c>
      <c r="E424" s="7" t="s">
        <v>32</v>
      </c>
      <c r="F424" s="6">
        <v>5253.0</v>
      </c>
      <c r="G424" s="6">
        <v>198431.63</v>
      </c>
      <c r="H424" s="6">
        <v>37.77</v>
      </c>
      <c r="I424" s="8">
        <v>39.88193222920236</v>
      </c>
      <c r="J424" s="6">
        <v>209499.79</v>
      </c>
      <c r="K424" s="6">
        <v>-11068.17</v>
      </c>
      <c r="L424" s="6">
        <v>-5.58</v>
      </c>
      <c r="M424" s="6">
        <f t="shared" si="1"/>
        <v>-2.107018846</v>
      </c>
      <c r="N424" s="6">
        <v>-5.58</v>
      </c>
      <c r="O424" s="7" t="s">
        <v>45</v>
      </c>
      <c r="P424" s="7" t="s">
        <v>46</v>
      </c>
      <c r="Q424" s="7" t="s">
        <v>25</v>
      </c>
      <c r="R424" s="10">
        <v>-5393.17</v>
      </c>
      <c r="S424" s="10">
        <v>-5675.0</v>
      </c>
      <c r="T424" s="9" t="s">
        <v>29</v>
      </c>
      <c r="U424" s="9"/>
      <c r="V424" s="9"/>
      <c r="W424" s="9"/>
      <c r="X424" s="9"/>
      <c r="Y424" s="9"/>
      <c r="Z424" s="9"/>
      <c r="AA424" s="9"/>
      <c r="AB424" s="9"/>
    </row>
    <row r="425">
      <c r="A425" s="5">
        <v>42061.0</v>
      </c>
      <c r="B425" s="6">
        <v>2015.0</v>
      </c>
      <c r="C425" s="7" t="s">
        <v>68</v>
      </c>
      <c r="D425" s="7" t="s">
        <v>64</v>
      </c>
      <c r="E425" s="7" t="s">
        <v>35</v>
      </c>
      <c r="F425" s="6">
        <v>4171.0</v>
      </c>
      <c r="G425" s="6">
        <v>157291.73</v>
      </c>
      <c r="H425" s="6">
        <v>37.71</v>
      </c>
      <c r="I425" s="8">
        <v>39.87174298729322</v>
      </c>
      <c r="J425" s="6">
        <v>166305.04</v>
      </c>
      <c r="K425" s="6">
        <v>-9013.3</v>
      </c>
      <c r="L425" s="6">
        <v>-5.73</v>
      </c>
      <c r="M425" s="6">
        <f t="shared" si="1"/>
        <v>-2.160944618</v>
      </c>
      <c r="N425" s="6">
        <v>-5.73</v>
      </c>
      <c r="O425" s="7" t="s">
        <v>45</v>
      </c>
      <c r="P425" s="7" t="s">
        <v>46</v>
      </c>
      <c r="Q425" s="7" t="s">
        <v>25</v>
      </c>
      <c r="R425" s="10">
        <v>-11068.17</v>
      </c>
      <c r="S425" s="10">
        <v>2054.86</v>
      </c>
      <c r="T425" s="9" t="s">
        <v>33</v>
      </c>
      <c r="U425" s="9"/>
      <c r="V425" s="9"/>
      <c r="W425" s="9"/>
      <c r="X425" s="9"/>
      <c r="Y425" s="9"/>
      <c r="Z425" s="9"/>
      <c r="AA425" s="9"/>
      <c r="AB425" s="9"/>
    </row>
    <row r="426">
      <c r="A426" s="5">
        <v>42062.0</v>
      </c>
      <c r="B426" s="6">
        <v>2015.0</v>
      </c>
      <c r="C426" s="7" t="s">
        <v>68</v>
      </c>
      <c r="D426" s="7" t="s">
        <v>65</v>
      </c>
      <c r="E426" s="7" t="s">
        <v>37</v>
      </c>
      <c r="F426" s="6">
        <v>8156.0</v>
      </c>
      <c r="G426" s="6">
        <v>307540.68</v>
      </c>
      <c r="H426" s="6">
        <v>37.71</v>
      </c>
      <c r="I426" s="8">
        <v>39.847638548308</v>
      </c>
      <c r="J426" s="6">
        <v>324997.34</v>
      </c>
      <c r="K426" s="6">
        <v>-17456.66</v>
      </c>
      <c r="L426" s="6">
        <v>-5.68</v>
      </c>
      <c r="M426" s="6">
        <f t="shared" si="1"/>
        <v>-2.140345758</v>
      </c>
      <c r="N426" s="6">
        <v>-5.68</v>
      </c>
      <c r="O426" s="7" t="s">
        <v>45</v>
      </c>
      <c r="P426" s="7" t="s">
        <v>46</v>
      </c>
      <c r="Q426" s="7" t="s">
        <v>25</v>
      </c>
      <c r="R426" s="10">
        <v>-9013.3</v>
      </c>
      <c r="S426" s="10">
        <v>-8443.36</v>
      </c>
      <c r="T426" s="9" t="s">
        <v>29</v>
      </c>
      <c r="U426" s="9"/>
      <c r="V426" s="9"/>
      <c r="W426" s="9"/>
      <c r="X426" s="9"/>
      <c r="Y426" s="9"/>
      <c r="Z426" s="9"/>
      <c r="AA426" s="9"/>
      <c r="AB426" s="9"/>
    </row>
    <row r="427">
      <c r="A427" s="5">
        <v>42063.0</v>
      </c>
      <c r="B427" s="6">
        <v>2015.0</v>
      </c>
      <c r="C427" s="7" t="s">
        <v>68</v>
      </c>
      <c r="D427" s="7" t="s">
        <v>66</v>
      </c>
      <c r="E427" s="7" t="s">
        <v>39</v>
      </c>
      <c r="F427" s="6">
        <v>9296.0</v>
      </c>
      <c r="G427" s="6">
        <v>350898.76</v>
      </c>
      <c r="H427" s="6">
        <v>37.75</v>
      </c>
      <c r="I427" s="8">
        <v>40.34322719449226</v>
      </c>
      <c r="J427" s="6">
        <v>375030.64</v>
      </c>
      <c r="K427" s="6">
        <v>-24131.87</v>
      </c>
      <c r="L427" s="6">
        <v>-6.88</v>
      </c>
      <c r="M427" s="6">
        <f t="shared" si="1"/>
        <v>-2.595941265</v>
      </c>
      <c r="N427" s="6">
        <v>-6.88</v>
      </c>
      <c r="O427" s="7" t="s">
        <v>45</v>
      </c>
      <c r="P427" s="7" t="s">
        <v>46</v>
      </c>
      <c r="Q427" s="7" t="s">
        <v>25</v>
      </c>
      <c r="R427" s="10">
        <v>-17456.66</v>
      </c>
      <c r="S427" s="10">
        <v>-6675.21</v>
      </c>
      <c r="T427" s="9" t="s">
        <v>29</v>
      </c>
      <c r="U427" s="9"/>
      <c r="V427" s="9"/>
      <c r="W427" s="9"/>
      <c r="X427" s="9"/>
      <c r="Y427" s="9"/>
      <c r="Z427" s="9"/>
      <c r="AA427" s="9"/>
      <c r="AB427" s="9"/>
    </row>
    <row r="428">
      <c r="A428" s="5">
        <v>42064.0</v>
      </c>
      <c r="B428" s="6">
        <v>2015.0</v>
      </c>
      <c r="C428" s="7" t="s">
        <v>71</v>
      </c>
      <c r="D428" s="7" t="s">
        <v>31</v>
      </c>
      <c r="E428" s="7" t="s">
        <v>41</v>
      </c>
      <c r="F428" s="6">
        <v>6803.0</v>
      </c>
      <c r="G428" s="6">
        <v>256701.54</v>
      </c>
      <c r="H428" s="6">
        <v>37.73</v>
      </c>
      <c r="I428" s="8">
        <v>40.654012935469645</v>
      </c>
      <c r="J428" s="6">
        <v>276569.25</v>
      </c>
      <c r="K428" s="6">
        <v>-19867.71</v>
      </c>
      <c r="L428" s="6">
        <v>-7.74</v>
      </c>
      <c r="M428" s="6">
        <f t="shared" si="1"/>
        <v>-2.920433632</v>
      </c>
      <c r="N428" s="6">
        <v>-7.74</v>
      </c>
      <c r="O428" s="7" t="s">
        <v>45</v>
      </c>
      <c r="P428" s="7" t="s">
        <v>46</v>
      </c>
      <c r="Q428" s="7" t="s">
        <v>25</v>
      </c>
      <c r="R428" s="10">
        <v>-24131.87</v>
      </c>
      <c r="S428" s="10">
        <v>4264.16</v>
      </c>
      <c r="T428" s="9" t="s">
        <v>33</v>
      </c>
      <c r="U428" s="9"/>
      <c r="V428" s="9"/>
      <c r="W428" s="9"/>
      <c r="X428" s="9"/>
      <c r="Y428" s="9"/>
      <c r="Z428" s="9"/>
      <c r="AA428" s="9"/>
      <c r="AB428" s="9"/>
    </row>
    <row r="429">
      <c r="A429" s="5">
        <v>42065.0</v>
      </c>
      <c r="B429" s="6">
        <v>2015.0</v>
      </c>
      <c r="C429" s="7" t="s">
        <v>71</v>
      </c>
      <c r="D429" s="7" t="s">
        <v>34</v>
      </c>
      <c r="E429" s="7" t="s">
        <v>22</v>
      </c>
      <c r="F429" s="6">
        <v>6221.0</v>
      </c>
      <c r="G429" s="6">
        <v>234705.59</v>
      </c>
      <c r="H429" s="6">
        <v>37.73</v>
      </c>
      <c r="I429" s="8">
        <v>40.622057547018166</v>
      </c>
      <c r="J429" s="6">
        <v>252709.82</v>
      </c>
      <c r="K429" s="6">
        <v>-18004.23</v>
      </c>
      <c r="L429" s="6">
        <v>-7.67</v>
      </c>
      <c r="M429" s="6">
        <f t="shared" si="1"/>
        <v>-2.894105449</v>
      </c>
      <c r="N429" s="6">
        <v>-7.67</v>
      </c>
      <c r="O429" s="7" t="s">
        <v>45</v>
      </c>
      <c r="P429" s="7" t="s">
        <v>46</v>
      </c>
      <c r="Q429" s="7" t="s">
        <v>25</v>
      </c>
      <c r="R429" s="10">
        <v>-19867.71</v>
      </c>
      <c r="S429" s="10">
        <v>1863.48</v>
      </c>
      <c r="T429" s="9" t="s">
        <v>33</v>
      </c>
      <c r="U429" s="9"/>
      <c r="V429" s="9"/>
      <c r="W429" s="9"/>
      <c r="X429" s="9"/>
      <c r="Y429" s="9"/>
      <c r="Z429" s="9"/>
      <c r="AA429" s="9"/>
      <c r="AB429" s="9"/>
    </row>
    <row r="430">
      <c r="A430" s="5">
        <v>42066.0</v>
      </c>
      <c r="B430" s="6">
        <v>2015.0</v>
      </c>
      <c r="C430" s="7" t="s">
        <v>71</v>
      </c>
      <c r="D430" s="7" t="s">
        <v>36</v>
      </c>
      <c r="E430" s="7" t="s">
        <v>28</v>
      </c>
      <c r="F430" s="6">
        <v>6611.0</v>
      </c>
      <c r="G430" s="6">
        <v>249380.57</v>
      </c>
      <c r="H430" s="6">
        <v>37.72</v>
      </c>
      <c r="I430" s="8">
        <v>40.65373317198608</v>
      </c>
      <c r="J430" s="6">
        <v>268761.83</v>
      </c>
      <c r="K430" s="6">
        <v>-19381.27</v>
      </c>
      <c r="L430" s="6">
        <v>-7.77</v>
      </c>
      <c r="M430" s="6">
        <f t="shared" si="1"/>
        <v>-2.931669944</v>
      </c>
      <c r="N430" s="6">
        <v>-7.77</v>
      </c>
      <c r="O430" s="7" t="s">
        <v>45</v>
      </c>
      <c r="P430" s="7" t="s">
        <v>46</v>
      </c>
      <c r="Q430" s="7" t="s">
        <v>25</v>
      </c>
      <c r="R430" s="10">
        <v>-18004.23</v>
      </c>
      <c r="S430" s="10">
        <v>-1377.04</v>
      </c>
      <c r="T430" s="9" t="s">
        <v>29</v>
      </c>
      <c r="U430" s="9"/>
      <c r="V430" s="9"/>
      <c r="W430" s="9"/>
      <c r="X430" s="9"/>
      <c r="Y430" s="9"/>
      <c r="Z430" s="9"/>
      <c r="AA430" s="9"/>
      <c r="AB430" s="9"/>
    </row>
    <row r="431">
      <c r="A431" s="5">
        <v>42067.0</v>
      </c>
      <c r="B431" s="6">
        <v>2015.0</v>
      </c>
      <c r="C431" s="7" t="s">
        <v>71</v>
      </c>
      <c r="D431" s="7" t="s">
        <v>38</v>
      </c>
      <c r="E431" s="7" t="s">
        <v>32</v>
      </c>
      <c r="F431" s="6">
        <v>6843.0</v>
      </c>
      <c r="G431" s="6">
        <v>258211.44</v>
      </c>
      <c r="H431" s="6">
        <v>37.73</v>
      </c>
      <c r="I431" s="8">
        <v>40.74610697062692</v>
      </c>
      <c r="J431" s="6">
        <v>278825.61</v>
      </c>
      <c r="K431" s="6">
        <v>-20614.16</v>
      </c>
      <c r="L431" s="6">
        <v>-7.98</v>
      </c>
      <c r="M431" s="6">
        <f t="shared" si="1"/>
        <v>-3.012444834</v>
      </c>
      <c r="N431" s="6">
        <v>-7.98</v>
      </c>
      <c r="O431" s="7" t="s">
        <v>45</v>
      </c>
      <c r="P431" s="7" t="s">
        <v>46</v>
      </c>
      <c r="Q431" s="7" t="s">
        <v>25</v>
      </c>
      <c r="R431" s="10">
        <v>-19381.27</v>
      </c>
      <c r="S431" s="10">
        <v>-1232.9</v>
      </c>
      <c r="T431" s="9" t="s">
        <v>29</v>
      </c>
      <c r="U431" s="9"/>
      <c r="V431" s="9"/>
      <c r="W431" s="9"/>
      <c r="X431" s="9"/>
      <c r="Y431" s="9"/>
      <c r="Z431" s="9"/>
      <c r="AA431" s="9"/>
      <c r="AB431" s="9"/>
    </row>
    <row r="432">
      <c r="A432" s="5">
        <v>42068.0</v>
      </c>
      <c r="B432" s="6">
        <v>2015.0</v>
      </c>
      <c r="C432" s="7" t="s">
        <v>71</v>
      </c>
      <c r="D432" s="7" t="s">
        <v>40</v>
      </c>
      <c r="E432" s="7" t="s">
        <v>35</v>
      </c>
      <c r="F432" s="6">
        <v>3858.0</v>
      </c>
      <c r="G432" s="6">
        <v>145975.83</v>
      </c>
      <c r="H432" s="6">
        <v>37.84</v>
      </c>
      <c r="I432" s="8">
        <v>40.84448159668222</v>
      </c>
      <c r="J432" s="6">
        <v>157578.01</v>
      </c>
      <c r="K432" s="6">
        <v>-11602.17</v>
      </c>
      <c r="L432" s="6">
        <v>-7.95</v>
      </c>
      <c r="M432" s="6">
        <f t="shared" si="1"/>
        <v>-3.007301711</v>
      </c>
      <c r="N432" s="6">
        <v>-7.95</v>
      </c>
      <c r="O432" s="7" t="s">
        <v>45</v>
      </c>
      <c r="P432" s="7" t="s">
        <v>46</v>
      </c>
      <c r="Q432" s="7" t="s">
        <v>25</v>
      </c>
      <c r="R432" s="10">
        <v>-20614.16</v>
      </c>
      <c r="S432" s="10">
        <v>9011.99</v>
      </c>
      <c r="T432" s="9" t="s">
        <v>33</v>
      </c>
      <c r="U432" s="9"/>
      <c r="V432" s="9"/>
      <c r="W432" s="9"/>
      <c r="X432" s="9"/>
      <c r="Y432" s="9"/>
      <c r="Z432" s="9"/>
      <c r="AA432" s="9"/>
      <c r="AB432" s="9"/>
    </row>
    <row r="433">
      <c r="A433" s="5">
        <v>42069.0</v>
      </c>
      <c r="B433" s="6">
        <v>2015.0</v>
      </c>
      <c r="C433" s="7" t="s">
        <v>71</v>
      </c>
      <c r="D433" s="7" t="s">
        <v>42</v>
      </c>
      <c r="E433" s="7" t="s">
        <v>37</v>
      </c>
      <c r="F433" s="6">
        <v>7128.0</v>
      </c>
      <c r="G433" s="6">
        <v>269239.85</v>
      </c>
      <c r="H433" s="6">
        <v>37.77</v>
      </c>
      <c r="I433" s="8">
        <v>40.87612514029181</v>
      </c>
      <c r="J433" s="6">
        <v>291365.02</v>
      </c>
      <c r="K433" s="6">
        <v>-22125.16</v>
      </c>
      <c r="L433" s="6">
        <v>-8.22</v>
      </c>
      <c r="M433" s="6">
        <f t="shared" si="1"/>
        <v>-3.103978676</v>
      </c>
      <c r="N433" s="6">
        <v>-8.22</v>
      </c>
      <c r="O433" s="7" t="s">
        <v>45</v>
      </c>
      <c r="P433" s="7" t="s">
        <v>46</v>
      </c>
      <c r="Q433" s="7" t="s">
        <v>25</v>
      </c>
      <c r="R433" s="10">
        <v>-11602.17</v>
      </c>
      <c r="S433" s="10">
        <v>-10522.99</v>
      </c>
      <c r="T433" s="9" t="s">
        <v>29</v>
      </c>
      <c r="U433" s="9"/>
      <c r="V433" s="9"/>
      <c r="W433" s="9"/>
      <c r="X433" s="9"/>
      <c r="Y433" s="9"/>
      <c r="Z433" s="9"/>
      <c r="AA433" s="9"/>
      <c r="AB433" s="9"/>
    </row>
    <row r="434">
      <c r="A434" s="5">
        <v>42070.0</v>
      </c>
      <c r="B434" s="6">
        <v>2015.0</v>
      </c>
      <c r="C434" s="7" t="s">
        <v>71</v>
      </c>
      <c r="D434" s="7" t="s">
        <v>43</v>
      </c>
      <c r="E434" s="7" t="s">
        <v>39</v>
      </c>
      <c r="F434" s="6">
        <v>8127.0</v>
      </c>
      <c r="G434" s="6">
        <v>306920.21</v>
      </c>
      <c r="H434" s="6">
        <v>37.77</v>
      </c>
      <c r="I434" s="8">
        <v>40.88131044665928</v>
      </c>
      <c r="J434" s="6">
        <v>332242.41</v>
      </c>
      <c r="K434" s="6">
        <v>-25322.2</v>
      </c>
      <c r="L434" s="6">
        <v>-8.25</v>
      </c>
      <c r="M434" s="6">
        <f t="shared" si="1"/>
        <v>-3.115811493</v>
      </c>
      <c r="N434" s="6">
        <v>-8.25</v>
      </c>
      <c r="O434" s="7" t="s">
        <v>45</v>
      </c>
      <c r="P434" s="7" t="s">
        <v>46</v>
      </c>
      <c r="Q434" s="7" t="s">
        <v>25</v>
      </c>
      <c r="R434" s="10">
        <v>-22125.16</v>
      </c>
      <c r="S434" s="10">
        <v>-3197.03</v>
      </c>
      <c r="T434" s="9" t="s">
        <v>29</v>
      </c>
      <c r="U434" s="9"/>
      <c r="V434" s="9"/>
      <c r="W434" s="9"/>
      <c r="X434" s="9"/>
      <c r="Y434" s="9"/>
      <c r="Z434" s="9"/>
      <c r="AA434" s="9"/>
      <c r="AB434" s="9"/>
    </row>
    <row r="435">
      <c r="A435" s="5">
        <v>42071.0</v>
      </c>
      <c r="B435" s="6">
        <v>2015.0</v>
      </c>
      <c r="C435" s="7" t="s">
        <v>71</v>
      </c>
      <c r="D435" s="7" t="s">
        <v>44</v>
      </c>
      <c r="E435" s="7" t="s">
        <v>41</v>
      </c>
      <c r="F435" s="6">
        <v>2966.0</v>
      </c>
      <c r="G435" s="6">
        <v>122106.8</v>
      </c>
      <c r="H435" s="6">
        <v>41.17</v>
      </c>
      <c r="I435" s="8">
        <v>40.9287963587323</v>
      </c>
      <c r="J435" s="6">
        <v>121394.81</v>
      </c>
      <c r="K435" s="6">
        <v>711.98</v>
      </c>
      <c r="L435" s="6">
        <v>0.58</v>
      </c>
      <c r="M435" s="6">
        <f t="shared" si="1"/>
        <v>0.2400472016</v>
      </c>
      <c r="N435" s="6">
        <v>0.58</v>
      </c>
      <c r="O435" s="7" t="s">
        <v>45</v>
      </c>
      <c r="P435" s="7" t="s">
        <v>46</v>
      </c>
      <c r="Q435" s="7" t="s">
        <v>25</v>
      </c>
      <c r="R435" s="10">
        <v>-25322.2</v>
      </c>
      <c r="S435" s="10">
        <v>26034.18</v>
      </c>
      <c r="T435" s="9" t="s">
        <v>33</v>
      </c>
      <c r="U435" s="9"/>
      <c r="V435" s="9"/>
      <c r="W435" s="9"/>
      <c r="X435" s="9"/>
      <c r="Y435" s="9"/>
      <c r="Z435" s="9"/>
      <c r="AA435" s="9"/>
      <c r="AB435" s="9"/>
    </row>
    <row r="436">
      <c r="A436" s="5">
        <v>42072.0</v>
      </c>
      <c r="B436" s="6">
        <v>2015.0</v>
      </c>
      <c r="C436" s="7" t="s">
        <v>71</v>
      </c>
      <c r="D436" s="7" t="s">
        <v>47</v>
      </c>
      <c r="E436" s="7" t="s">
        <v>22</v>
      </c>
      <c r="F436" s="6">
        <v>2858.0</v>
      </c>
      <c r="G436" s="6">
        <v>117661.28</v>
      </c>
      <c r="H436" s="6">
        <v>41.17</v>
      </c>
      <c r="I436" s="8">
        <v>40.889139258222535</v>
      </c>
      <c r="J436" s="6">
        <v>116861.16</v>
      </c>
      <c r="K436" s="6">
        <v>800.12</v>
      </c>
      <c r="L436" s="6">
        <v>0.68</v>
      </c>
      <c r="M436" s="6">
        <f t="shared" si="1"/>
        <v>0.2799580126</v>
      </c>
      <c r="N436" s="6">
        <v>0.68</v>
      </c>
      <c r="O436" s="7" t="s">
        <v>45</v>
      </c>
      <c r="P436" s="7" t="s">
        <v>46</v>
      </c>
      <c r="Q436" s="7" t="s">
        <v>25</v>
      </c>
      <c r="R436" s="10">
        <v>711.98</v>
      </c>
      <c r="S436" s="10">
        <v>88.14</v>
      </c>
      <c r="T436" s="9" t="s">
        <v>33</v>
      </c>
      <c r="U436" s="9"/>
      <c r="V436" s="9"/>
      <c r="W436" s="9"/>
      <c r="X436" s="9"/>
      <c r="Y436" s="9"/>
      <c r="Z436" s="9"/>
      <c r="AA436" s="9"/>
      <c r="AB436" s="9"/>
    </row>
    <row r="437">
      <c r="A437" s="5">
        <v>42073.0</v>
      </c>
      <c r="B437" s="6">
        <v>2015.0</v>
      </c>
      <c r="C437" s="7" t="s">
        <v>71</v>
      </c>
      <c r="D437" s="7" t="s">
        <v>48</v>
      </c>
      <c r="E437" s="7" t="s">
        <v>28</v>
      </c>
      <c r="F437" s="6">
        <v>1518.0</v>
      </c>
      <c r="G437" s="6">
        <v>62499.8</v>
      </c>
      <c r="H437" s="6">
        <v>41.17</v>
      </c>
      <c r="I437" s="8">
        <v>40.89187747035573</v>
      </c>
      <c r="J437" s="6">
        <v>62073.87</v>
      </c>
      <c r="K437" s="6">
        <v>425.93</v>
      </c>
      <c r="L437" s="6">
        <v>0.68</v>
      </c>
      <c r="M437" s="6">
        <f t="shared" si="1"/>
        <v>0.2805862978</v>
      </c>
      <c r="N437" s="6">
        <v>0.68</v>
      </c>
      <c r="O437" s="7" t="s">
        <v>45</v>
      </c>
      <c r="P437" s="7" t="s">
        <v>46</v>
      </c>
      <c r="Q437" s="7" t="s">
        <v>25</v>
      </c>
      <c r="R437" s="10">
        <v>800.12</v>
      </c>
      <c r="S437" s="10">
        <v>-374.2</v>
      </c>
      <c r="T437" s="9" t="s">
        <v>29</v>
      </c>
      <c r="U437" s="9"/>
      <c r="V437" s="9"/>
      <c r="W437" s="9"/>
      <c r="X437" s="9"/>
      <c r="Y437" s="9"/>
      <c r="Z437" s="9"/>
      <c r="AA437" s="9"/>
      <c r="AB437" s="9"/>
    </row>
    <row r="438">
      <c r="A438" s="5">
        <v>42074.0</v>
      </c>
      <c r="B438" s="6">
        <v>2015.0</v>
      </c>
      <c r="C438" s="7" t="s">
        <v>71</v>
      </c>
      <c r="D438" s="7" t="s">
        <v>49</v>
      </c>
      <c r="E438" s="7" t="s">
        <v>32</v>
      </c>
      <c r="F438" s="6">
        <v>1386.0</v>
      </c>
      <c r="G438" s="6">
        <v>57063.98</v>
      </c>
      <c r="H438" s="6">
        <v>41.17</v>
      </c>
      <c r="I438" s="8">
        <v>40.86455988455988</v>
      </c>
      <c r="J438" s="6">
        <v>56638.28</v>
      </c>
      <c r="K438" s="6">
        <v>425.7</v>
      </c>
      <c r="L438" s="6">
        <v>0.75</v>
      </c>
      <c r="M438" s="6">
        <f t="shared" si="1"/>
        <v>0.3071428571</v>
      </c>
      <c r="N438" s="6">
        <v>0.75</v>
      </c>
      <c r="O438" s="7" t="s">
        <v>45</v>
      </c>
      <c r="P438" s="7" t="s">
        <v>46</v>
      </c>
      <c r="Q438" s="7" t="s">
        <v>25</v>
      </c>
      <c r="R438" s="10">
        <v>425.93</v>
      </c>
      <c r="S438" s="10">
        <v>-0.22</v>
      </c>
      <c r="T438" s="9" t="s">
        <v>29</v>
      </c>
      <c r="U438" s="9"/>
      <c r="V438" s="9"/>
      <c r="W438" s="9"/>
      <c r="X438" s="9"/>
      <c r="Y438" s="9"/>
      <c r="Z438" s="9"/>
      <c r="AA438" s="9"/>
      <c r="AB438" s="9"/>
    </row>
    <row r="439">
      <c r="A439" s="5">
        <v>42075.0</v>
      </c>
      <c r="B439" s="6">
        <v>2015.0</v>
      </c>
      <c r="C439" s="7" t="s">
        <v>71</v>
      </c>
      <c r="D439" s="7" t="s">
        <v>50</v>
      </c>
      <c r="E439" s="7" t="s">
        <v>35</v>
      </c>
      <c r="F439" s="6">
        <v>1166.0</v>
      </c>
      <c r="G439" s="6">
        <v>48008.48</v>
      </c>
      <c r="H439" s="6">
        <v>41.17</v>
      </c>
      <c r="I439" s="8">
        <v>40.8933704974271</v>
      </c>
      <c r="J439" s="6">
        <v>47681.67</v>
      </c>
      <c r="K439" s="6">
        <v>326.81</v>
      </c>
      <c r="L439" s="6">
        <v>0.68</v>
      </c>
      <c r="M439" s="6">
        <f t="shared" si="1"/>
        <v>0.2802830189</v>
      </c>
      <c r="N439" s="6">
        <v>0.68</v>
      </c>
      <c r="O439" s="7" t="s">
        <v>45</v>
      </c>
      <c r="P439" s="7" t="s">
        <v>46</v>
      </c>
      <c r="Q439" s="7" t="s">
        <v>25</v>
      </c>
      <c r="R439" s="10">
        <v>425.7</v>
      </c>
      <c r="S439" s="10">
        <v>-98.89</v>
      </c>
      <c r="T439" s="9" t="s">
        <v>29</v>
      </c>
      <c r="U439" s="9"/>
      <c r="V439" s="9"/>
      <c r="W439" s="9"/>
      <c r="X439" s="9"/>
      <c r="Y439" s="9"/>
      <c r="Z439" s="9"/>
      <c r="AA439" s="9"/>
      <c r="AB439" s="9"/>
    </row>
    <row r="440">
      <c r="A440" s="5">
        <v>42076.0</v>
      </c>
      <c r="B440" s="6">
        <v>2015.0</v>
      </c>
      <c r="C440" s="7" t="s">
        <v>71</v>
      </c>
      <c r="D440" s="7" t="s">
        <v>51</v>
      </c>
      <c r="E440" s="7" t="s">
        <v>37</v>
      </c>
      <c r="F440" s="6">
        <v>2853.0</v>
      </c>
      <c r="G440" s="6">
        <v>117446.84</v>
      </c>
      <c r="H440" s="6">
        <v>41.17</v>
      </c>
      <c r="I440" s="8">
        <v>40.89770066596565</v>
      </c>
      <c r="J440" s="6">
        <v>116681.14</v>
      </c>
      <c r="K440" s="6">
        <v>765.7</v>
      </c>
      <c r="L440" s="6">
        <v>0.65</v>
      </c>
      <c r="M440" s="6">
        <f t="shared" si="1"/>
        <v>0.268384157</v>
      </c>
      <c r="N440" s="6">
        <v>0.65</v>
      </c>
      <c r="O440" s="7" t="s">
        <v>45</v>
      </c>
      <c r="P440" s="7" t="s">
        <v>46</v>
      </c>
      <c r="Q440" s="7" t="s">
        <v>25</v>
      </c>
      <c r="R440" s="10">
        <v>326.81</v>
      </c>
      <c r="S440" s="10">
        <v>438.89</v>
      </c>
      <c r="T440" s="9" t="s">
        <v>33</v>
      </c>
      <c r="U440" s="9"/>
      <c r="V440" s="9"/>
      <c r="W440" s="9"/>
      <c r="X440" s="9"/>
      <c r="Y440" s="9"/>
      <c r="Z440" s="9"/>
      <c r="AA440" s="9"/>
      <c r="AB440" s="9"/>
    </row>
    <row r="441">
      <c r="A441" s="5">
        <v>42077.0</v>
      </c>
      <c r="B441" s="6">
        <v>2015.0</v>
      </c>
      <c r="C441" s="7" t="s">
        <v>71</v>
      </c>
      <c r="D441" s="7" t="s">
        <v>52</v>
      </c>
      <c r="E441" s="7" t="s">
        <v>39</v>
      </c>
      <c r="F441" s="6">
        <v>3657.0</v>
      </c>
      <c r="G441" s="6">
        <v>150591.55</v>
      </c>
      <c r="H441" s="6">
        <v>41.18</v>
      </c>
      <c r="I441" s="8">
        <v>40.900691823899365</v>
      </c>
      <c r="J441" s="6">
        <v>149573.83</v>
      </c>
      <c r="K441" s="6">
        <v>1017.72</v>
      </c>
      <c r="L441" s="6">
        <v>0.68</v>
      </c>
      <c r="M441" s="6">
        <f t="shared" si="1"/>
        <v>0.2782936833</v>
      </c>
      <c r="N441" s="6">
        <v>0.68</v>
      </c>
      <c r="O441" s="7" t="s">
        <v>45</v>
      </c>
      <c r="P441" s="7" t="s">
        <v>46</v>
      </c>
      <c r="Q441" s="7" t="s">
        <v>25</v>
      </c>
      <c r="R441" s="10">
        <v>765.7</v>
      </c>
      <c r="S441" s="10">
        <v>252.02</v>
      </c>
      <c r="T441" s="9" t="s">
        <v>33</v>
      </c>
      <c r="U441" s="9"/>
      <c r="V441" s="9"/>
      <c r="W441" s="9"/>
      <c r="X441" s="9"/>
      <c r="Y441" s="9"/>
      <c r="Z441" s="9"/>
      <c r="AA441" s="9"/>
      <c r="AB441" s="9"/>
    </row>
    <row r="442">
      <c r="A442" s="5">
        <v>42078.0</v>
      </c>
      <c r="B442" s="6">
        <v>2015.0</v>
      </c>
      <c r="C442" s="7" t="s">
        <v>71</v>
      </c>
      <c r="D442" s="7" t="s">
        <v>53</v>
      </c>
      <c r="E442" s="7" t="s">
        <v>41</v>
      </c>
      <c r="F442" s="6">
        <v>1631.0</v>
      </c>
      <c r="G442" s="6">
        <v>67152.47</v>
      </c>
      <c r="H442" s="6">
        <v>41.17</v>
      </c>
      <c r="I442" s="8">
        <v>40.95829552421827</v>
      </c>
      <c r="J442" s="6">
        <v>66802.98</v>
      </c>
      <c r="K442" s="6">
        <v>349.49</v>
      </c>
      <c r="L442" s="6">
        <v>0.52</v>
      </c>
      <c r="M442" s="6">
        <f t="shared" si="1"/>
        <v>0.2142795831</v>
      </c>
      <c r="N442" s="6">
        <v>0.52</v>
      </c>
      <c r="O442" s="7" t="s">
        <v>45</v>
      </c>
      <c r="P442" s="7" t="s">
        <v>46</v>
      </c>
      <c r="Q442" s="7" t="s">
        <v>25</v>
      </c>
      <c r="R442" s="10">
        <v>1017.72</v>
      </c>
      <c r="S442" s="10">
        <v>-668.23</v>
      </c>
      <c r="T442" s="9" t="s">
        <v>29</v>
      </c>
      <c r="U442" s="9"/>
      <c r="V442" s="9"/>
      <c r="W442" s="9"/>
      <c r="X442" s="9"/>
      <c r="Y442" s="9"/>
      <c r="Z442" s="9"/>
      <c r="AA442" s="9"/>
      <c r="AB442" s="9"/>
    </row>
    <row r="443">
      <c r="A443" s="5">
        <v>42079.0</v>
      </c>
      <c r="B443" s="6">
        <v>2015.0</v>
      </c>
      <c r="C443" s="7" t="s">
        <v>71</v>
      </c>
      <c r="D443" s="7" t="s">
        <v>54</v>
      </c>
      <c r="E443" s="7" t="s">
        <v>22</v>
      </c>
      <c r="F443" s="6">
        <v>1959.0</v>
      </c>
      <c r="G443" s="6">
        <v>80635.29</v>
      </c>
      <c r="H443" s="6">
        <v>41.16</v>
      </c>
      <c r="I443" s="8">
        <v>40.89907605921388</v>
      </c>
      <c r="J443" s="6">
        <v>80121.29</v>
      </c>
      <c r="K443" s="6">
        <v>514.0</v>
      </c>
      <c r="L443" s="6">
        <v>0.64</v>
      </c>
      <c r="M443" s="6">
        <f t="shared" si="1"/>
        <v>0.2623787647</v>
      </c>
      <c r="N443" s="6">
        <v>0.64</v>
      </c>
      <c r="O443" s="7" t="s">
        <v>45</v>
      </c>
      <c r="P443" s="7" t="s">
        <v>46</v>
      </c>
      <c r="Q443" s="7" t="s">
        <v>25</v>
      </c>
      <c r="R443" s="10">
        <v>349.49</v>
      </c>
      <c r="S443" s="10">
        <v>164.51</v>
      </c>
      <c r="T443" s="9" t="s">
        <v>33</v>
      </c>
      <c r="U443" s="9"/>
      <c r="V443" s="9"/>
      <c r="W443" s="9"/>
      <c r="X443" s="9"/>
      <c r="Y443" s="9"/>
      <c r="Z443" s="9"/>
      <c r="AA443" s="9"/>
      <c r="AB443" s="9"/>
    </row>
    <row r="444">
      <c r="A444" s="5">
        <v>42080.0</v>
      </c>
      <c r="B444" s="6">
        <v>2015.0</v>
      </c>
      <c r="C444" s="7" t="s">
        <v>71</v>
      </c>
      <c r="D444" s="7" t="s">
        <v>55</v>
      </c>
      <c r="E444" s="7" t="s">
        <v>28</v>
      </c>
      <c r="F444" s="6">
        <v>1230.0</v>
      </c>
      <c r="G444" s="6">
        <v>50669.64</v>
      </c>
      <c r="H444" s="6">
        <v>41.19</v>
      </c>
      <c r="I444" s="8">
        <v>40.90159349593496</v>
      </c>
      <c r="J444" s="6">
        <v>50308.96</v>
      </c>
      <c r="K444" s="6">
        <v>360.68</v>
      </c>
      <c r="L444" s="6">
        <v>0.71</v>
      </c>
      <c r="M444" s="6">
        <f t="shared" si="1"/>
        <v>0.2932357724</v>
      </c>
      <c r="N444" s="6">
        <v>0.71</v>
      </c>
      <c r="O444" s="7" t="s">
        <v>45</v>
      </c>
      <c r="P444" s="7" t="s">
        <v>46</v>
      </c>
      <c r="Q444" s="7" t="s">
        <v>25</v>
      </c>
      <c r="R444" s="10">
        <v>514.0</v>
      </c>
      <c r="S444" s="10">
        <v>-153.32</v>
      </c>
      <c r="T444" s="9" t="s">
        <v>29</v>
      </c>
      <c r="U444" s="9"/>
      <c r="V444" s="9"/>
      <c r="W444" s="9"/>
      <c r="X444" s="9"/>
      <c r="Y444" s="9"/>
      <c r="Z444" s="9"/>
      <c r="AA444" s="9"/>
      <c r="AB444" s="9"/>
    </row>
    <row r="445">
      <c r="A445" s="5">
        <v>42081.0</v>
      </c>
      <c r="B445" s="6">
        <v>2015.0</v>
      </c>
      <c r="C445" s="7" t="s">
        <v>71</v>
      </c>
      <c r="D445" s="7" t="s">
        <v>56</v>
      </c>
      <c r="E445" s="7" t="s">
        <v>32</v>
      </c>
      <c r="F445" s="6">
        <v>1182.0</v>
      </c>
      <c r="G445" s="6">
        <v>48648.99</v>
      </c>
      <c r="H445" s="6">
        <v>41.16</v>
      </c>
      <c r="I445" s="8">
        <v>40.91545685279188</v>
      </c>
      <c r="J445" s="6">
        <v>48362.07</v>
      </c>
      <c r="K445" s="6">
        <v>286.92</v>
      </c>
      <c r="L445" s="6">
        <v>0.59</v>
      </c>
      <c r="M445" s="6">
        <f t="shared" si="1"/>
        <v>0.2427411168</v>
      </c>
      <c r="N445" s="6">
        <v>0.59</v>
      </c>
      <c r="O445" s="7" t="s">
        <v>45</v>
      </c>
      <c r="P445" s="7" t="s">
        <v>46</v>
      </c>
      <c r="Q445" s="7" t="s">
        <v>25</v>
      </c>
      <c r="R445" s="10">
        <v>360.68</v>
      </c>
      <c r="S445" s="10">
        <v>-73.76</v>
      </c>
      <c r="T445" s="9" t="s">
        <v>29</v>
      </c>
      <c r="U445" s="9"/>
      <c r="V445" s="9"/>
      <c r="W445" s="9"/>
      <c r="X445" s="9"/>
      <c r="Y445" s="9"/>
      <c r="Z445" s="9"/>
      <c r="AA445" s="9"/>
      <c r="AB445" s="9"/>
    </row>
    <row r="446">
      <c r="A446" s="5">
        <v>42082.0</v>
      </c>
      <c r="B446" s="6">
        <v>2015.0</v>
      </c>
      <c r="C446" s="7" t="s">
        <v>71</v>
      </c>
      <c r="D446" s="7" t="s">
        <v>57</v>
      </c>
      <c r="E446" s="7" t="s">
        <v>35</v>
      </c>
      <c r="F446" s="6">
        <v>1050.0</v>
      </c>
      <c r="G446" s="6">
        <v>43213.18</v>
      </c>
      <c r="H446" s="6">
        <v>41.16</v>
      </c>
      <c r="I446" s="8">
        <v>40.93449523809524</v>
      </c>
      <c r="J446" s="6">
        <v>42981.22</v>
      </c>
      <c r="K446" s="6">
        <v>231.96</v>
      </c>
      <c r="L446" s="6">
        <v>0.54</v>
      </c>
      <c r="M446" s="6">
        <f t="shared" si="1"/>
        <v>0.2209142857</v>
      </c>
      <c r="N446" s="6">
        <v>0.54</v>
      </c>
      <c r="O446" s="7" t="s">
        <v>45</v>
      </c>
      <c r="P446" s="7" t="s">
        <v>46</v>
      </c>
      <c r="Q446" s="7" t="s">
        <v>25</v>
      </c>
      <c r="R446" s="10">
        <v>286.92</v>
      </c>
      <c r="S446" s="10">
        <v>-54.96</v>
      </c>
      <c r="T446" s="9" t="s">
        <v>29</v>
      </c>
      <c r="U446" s="9"/>
      <c r="V446" s="9"/>
      <c r="W446" s="9"/>
      <c r="X446" s="9"/>
      <c r="Y446" s="9"/>
      <c r="Z446" s="9"/>
      <c r="AA446" s="9"/>
      <c r="AB446" s="9"/>
    </row>
    <row r="447">
      <c r="A447" s="5">
        <v>42083.0</v>
      </c>
      <c r="B447" s="6">
        <v>2015.0</v>
      </c>
      <c r="C447" s="7" t="s">
        <v>71</v>
      </c>
      <c r="D447" s="7" t="s">
        <v>58</v>
      </c>
      <c r="E447" s="7" t="s">
        <v>37</v>
      </c>
      <c r="F447" s="6">
        <v>2353.0</v>
      </c>
      <c r="G447" s="6">
        <v>96881.02</v>
      </c>
      <c r="H447" s="6">
        <v>41.17</v>
      </c>
      <c r="I447" s="8">
        <v>40.99162345941351</v>
      </c>
      <c r="J447" s="6">
        <v>96453.29</v>
      </c>
      <c r="K447" s="6">
        <v>427.73</v>
      </c>
      <c r="L447" s="6">
        <v>0.44</v>
      </c>
      <c r="M447" s="6">
        <f t="shared" si="1"/>
        <v>0.1817807055</v>
      </c>
      <c r="N447" s="6">
        <v>0.44</v>
      </c>
      <c r="O447" s="7" t="s">
        <v>45</v>
      </c>
      <c r="P447" s="7" t="s">
        <v>46</v>
      </c>
      <c r="Q447" s="7" t="s">
        <v>25</v>
      </c>
      <c r="R447" s="10">
        <v>231.96</v>
      </c>
      <c r="S447" s="10">
        <v>195.77</v>
      </c>
      <c r="T447" s="9" t="s">
        <v>33</v>
      </c>
      <c r="U447" s="9"/>
      <c r="V447" s="9"/>
      <c r="W447" s="9"/>
      <c r="X447" s="9"/>
      <c r="Y447" s="9"/>
      <c r="Z447" s="9"/>
      <c r="AA447" s="9"/>
      <c r="AB447" s="9"/>
    </row>
    <row r="448">
      <c r="A448" s="5">
        <v>42084.0</v>
      </c>
      <c r="B448" s="6">
        <v>2015.0</v>
      </c>
      <c r="C448" s="7" t="s">
        <v>71</v>
      </c>
      <c r="D448" s="7" t="s">
        <v>59</v>
      </c>
      <c r="E448" s="7" t="s">
        <v>39</v>
      </c>
      <c r="F448" s="6">
        <v>2947.0</v>
      </c>
      <c r="G448" s="6">
        <v>121360.89</v>
      </c>
      <c r="H448" s="6">
        <v>41.18</v>
      </c>
      <c r="I448" s="8">
        <v>41.00077706141839</v>
      </c>
      <c r="J448" s="6">
        <v>120829.29</v>
      </c>
      <c r="K448" s="6">
        <v>531.6</v>
      </c>
      <c r="L448" s="6">
        <v>0.44</v>
      </c>
      <c r="M448" s="6">
        <f t="shared" si="1"/>
        <v>0.1803868341</v>
      </c>
      <c r="N448" s="6">
        <v>0.44</v>
      </c>
      <c r="O448" s="7" t="s">
        <v>45</v>
      </c>
      <c r="P448" s="7" t="s">
        <v>46</v>
      </c>
      <c r="Q448" s="7" t="s">
        <v>25</v>
      </c>
      <c r="R448" s="10">
        <v>427.73</v>
      </c>
      <c r="S448" s="10">
        <v>103.87</v>
      </c>
      <c r="T448" s="9" t="s">
        <v>33</v>
      </c>
      <c r="U448" s="9"/>
      <c r="V448" s="9"/>
      <c r="W448" s="9"/>
      <c r="X448" s="9"/>
      <c r="Y448" s="9"/>
      <c r="Z448" s="9"/>
      <c r="AA448" s="9"/>
      <c r="AB448" s="9"/>
    </row>
    <row r="449">
      <c r="A449" s="5">
        <v>42085.0</v>
      </c>
      <c r="B449" s="6">
        <v>2015.0</v>
      </c>
      <c r="C449" s="7" t="s">
        <v>71</v>
      </c>
      <c r="D449" s="7" t="s">
        <v>60</v>
      </c>
      <c r="E449" s="7" t="s">
        <v>41</v>
      </c>
      <c r="F449" s="6">
        <v>1626.0</v>
      </c>
      <c r="G449" s="6">
        <v>66954.37</v>
      </c>
      <c r="H449" s="6">
        <v>41.18</v>
      </c>
      <c r="I449" s="8">
        <v>41.05558425584256</v>
      </c>
      <c r="J449" s="6">
        <v>66756.38</v>
      </c>
      <c r="K449" s="6">
        <v>197.99</v>
      </c>
      <c r="L449" s="6">
        <v>0.3</v>
      </c>
      <c r="M449" s="6">
        <f t="shared" si="1"/>
        <v>0.1217650677</v>
      </c>
      <c r="N449" s="6">
        <v>0.3</v>
      </c>
      <c r="O449" s="7" t="s">
        <v>45</v>
      </c>
      <c r="P449" s="7" t="s">
        <v>46</v>
      </c>
      <c r="Q449" s="7" t="s">
        <v>25</v>
      </c>
      <c r="R449" s="10">
        <v>531.6</v>
      </c>
      <c r="S449" s="10">
        <v>-333.61</v>
      </c>
      <c r="T449" s="9" t="s">
        <v>29</v>
      </c>
      <c r="U449" s="9"/>
      <c r="V449" s="9"/>
      <c r="W449" s="9"/>
      <c r="X449" s="9"/>
      <c r="Y449" s="9"/>
      <c r="Z449" s="9"/>
      <c r="AA449" s="9"/>
      <c r="AB449" s="9"/>
    </row>
    <row r="450">
      <c r="A450" s="5">
        <v>42086.0</v>
      </c>
      <c r="B450" s="6">
        <v>2015.0</v>
      </c>
      <c r="C450" s="7" t="s">
        <v>71</v>
      </c>
      <c r="D450" s="7" t="s">
        <v>61</v>
      </c>
      <c r="E450" s="7" t="s">
        <v>22</v>
      </c>
      <c r="F450" s="6">
        <v>1976.0</v>
      </c>
      <c r="G450" s="6">
        <v>81342.15</v>
      </c>
      <c r="H450" s="6">
        <v>41.17</v>
      </c>
      <c r="I450" s="8">
        <v>41.05870951417004</v>
      </c>
      <c r="J450" s="6">
        <v>81132.01</v>
      </c>
      <c r="K450" s="6">
        <v>210.14</v>
      </c>
      <c r="L450" s="6">
        <v>0.26</v>
      </c>
      <c r="M450" s="6">
        <f t="shared" si="1"/>
        <v>0.1063461538</v>
      </c>
      <c r="N450" s="6">
        <v>0.26</v>
      </c>
      <c r="O450" s="7" t="s">
        <v>45</v>
      </c>
      <c r="P450" s="7" t="s">
        <v>46</v>
      </c>
      <c r="Q450" s="7" t="s">
        <v>25</v>
      </c>
      <c r="R450" s="10">
        <v>197.99</v>
      </c>
      <c r="S450" s="10">
        <v>12.15</v>
      </c>
      <c r="T450" s="9" t="s">
        <v>33</v>
      </c>
      <c r="U450" s="9"/>
      <c r="V450" s="9"/>
      <c r="W450" s="9"/>
      <c r="X450" s="9"/>
      <c r="Y450" s="9"/>
      <c r="Z450" s="9"/>
      <c r="AA450" s="9"/>
      <c r="AB450" s="9"/>
    </row>
    <row r="451">
      <c r="A451" s="5">
        <v>42087.0</v>
      </c>
      <c r="B451" s="6">
        <v>2015.0</v>
      </c>
      <c r="C451" s="7" t="s">
        <v>71</v>
      </c>
      <c r="D451" s="7" t="s">
        <v>62</v>
      </c>
      <c r="E451" s="7" t="s">
        <v>28</v>
      </c>
      <c r="F451" s="6">
        <v>3312.0</v>
      </c>
      <c r="G451" s="6">
        <v>125060.71</v>
      </c>
      <c r="H451" s="6">
        <v>37.76</v>
      </c>
      <c r="I451" s="8">
        <v>41.17607185990338</v>
      </c>
      <c r="J451" s="6">
        <v>136375.15</v>
      </c>
      <c r="K451" s="6">
        <v>-11314.44</v>
      </c>
      <c r="L451" s="6">
        <v>-9.05</v>
      </c>
      <c r="M451" s="6">
        <f t="shared" si="1"/>
        <v>-3.416195652</v>
      </c>
      <c r="N451" s="6">
        <v>-9.05</v>
      </c>
      <c r="O451" s="7" t="s">
        <v>45</v>
      </c>
      <c r="P451" s="7" t="s">
        <v>46</v>
      </c>
      <c r="Q451" s="7" t="s">
        <v>25</v>
      </c>
      <c r="R451" s="10">
        <v>210.14</v>
      </c>
      <c r="S451" s="10">
        <v>-11524.58</v>
      </c>
      <c r="T451" s="9" t="s">
        <v>29</v>
      </c>
      <c r="U451" s="9"/>
      <c r="V451" s="9"/>
      <c r="W451" s="9"/>
      <c r="X451" s="9"/>
      <c r="Y451" s="9"/>
      <c r="Z451" s="9"/>
      <c r="AA451" s="9"/>
      <c r="AB451" s="9"/>
    </row>
    <row r="452">
      <c r="A452" s="5">
        <v>42088.0</v>
      </c>
      <c r="B452" s="6">
        <v>2015.0</v>
      </c>
      <c r="C452" s="7" t="s">
        <v>71</v>
      </c>
      <c r="D452" s="7" t="s">
        <v>63</v>
      </c>
      <c r="E452" s="7" t="s">
        <v>32</v>
      </c>
      <c r="F452" s="6">
        <v>6704.0</v>
      </c>
      <c r="G452" s="6">
        <v>253218.83</v>
      </c>
      <c r="H452" s="6">
        <v>37.77</v>
      </c>
      <c r="I452" s="8">
        <v>41.19851282816229</v>
      </c>
      <c r="J452" s="6">
        <v>276194.83</v>
      </c>
      <c r="K452" s="6">
        <v>-22976.0</v>
      </c>
      <c r="L452" s="6">
        <v>-9.07</v>
      </c>
      <c r="M452" s="6">
        <f t="shared" si="1"/>
        <v>-3.427207637</v>
      </c>
      <c r="N452" s="6">
        <v>-9.07</v>
      </c>
      <c r="O452" s="7" t="s">
        <v>45</v>
      </c>
      <c r="P452" s="7" t="s">
        <v>46</v>
      </c>
      <c r="Q452" s="7" t="s">
        <v>25</v>
      </c>
      <c r="R452" s="10">
        <v>-11314.44</v>
      </c>
      <c r="S452" s="10">
        <v>-11661.55</v>
      </c>
      <c r="T452" s="9" t="s">
        <v>29</v>
      </c>
      <c r="U452" s="9"/>
      <c r="V452" s="9"/>
      <c r="W452" s="9"/>
      <c r="X452" s="9"/>
      <c r="Y452" s="9"/>
      <c r="Z452" s="9"/>
      <c r="AA452" s="9"/>
      <c r="AB452" s="9"/>
    </row>
    <row r="453">
      <c r="A453" s="5">
        <v>42089.0</v>
      </c>
      <c r="B453" s="6">
        <v>2015.0</v>
      </c>
      <c r="C453" s="7" t="s">
        <v>71</v>
      </c>
      <c r="D453" s="7" t="s">
        <v>64</v>
      </c>
      <c r="E453" s="7" t="s">
        <v>35</v>
      </c>
      <c r="F453" s="6">
        <v>6077.0</v>
      </c>
      <c r="G453" s="6">
        <v>229184.47</v>
      </c>
      <c r="H453" s="6">
        <v>37.71</v>
      </c>
      <c r="I453" s="8">
        <v>41.19814875761066</v>
      </c>
      <c r="J453" s="6">
        <v>250361.15</v>
      </c>
      <c r="K453" s="6">
        <v>-21176.68</v>
      </c>
      <c r="L453" s="6">
        <v>-9.24</v>
      </c>
      <c r="M453" s="6">
        <f t="shared" si="1"/>
        <v>-3.484726016</v>
      </c>
      <c r="N453" s="6">
        <v>-9.24</v>
      </c>
      <c r="O453" s="7" t="s">
        <v>45</v>
      </c>
      <c r="P453" s="7" t="s">
        <v>46</v>
      </c>
      <c r="Q453" s="7" t="s">
        <v>25</v>
      </c>
      <c r="R453" s="10">
        <v>-22976.0</v>
      </c>
      <c r="S453" s="10">
        <v>1799.32</v>
      </c>
      <c r="T453" s="9" t="s">
        <v>33</v>
      </c>
      <c r="U453" s="9"/>
      <c r="V453" s="9"/>
      <c r="W453" s="9"/>
      <c r="X453" s="9"/>
      <c r="Y453" s="9"/>
      <c r="Z453" s="9"/>
      <c r="AA453" s="9"/>
      <c r="AB453" s="9"/>
    </row>
    <row r="454">
      <c r="A454" s="5">
        <v>42090.0</v>
      </c>
      <c r="B454" s="6">
        <v>2015.0</v>
      </c>
      <c r="C454" s="7" t="s">
        <v>71</v>
      </c>
      <c r="D454" s="7" t="s">
        <v>65</v>
      </c>
      <c r="E454" s="7" t="s">
        <v>37</v>
      </c>
      <c r="F454" s="6">
        <v>9386.0</v>
      </c>
      <c r="G454" s="6">
        <v>354191.35</v>
      </c>
      <c r="H454" s="6">
        <v>37.74</v>
      </c>
      <c r="I454" s="8">
        <v>41.17458448753463</v>
      </c>
      <c r="J454" s="6">
        <v>386464.65</v>
      </c>
      <c r="K454" s="6">
        <v>-32273.3</v>
      </c>
      <c r="L454" s="6">
        <v>-9.11</v>
      </c>
      <c r="M454" s="6">
        <f t="shared" si="1"/>
        <v>-3.438450884</v>
      </c>
      <c r="N454" s="6">
        <v>-9.11</v>
      </c>
      <c r="O454" s="7" t="s">
        <v>45</v>
      </c>
      <c r="P454" s="7" t="s">
        <v>46</v>
      </c>
      <c r="Q454" s="7" t="s">
        <v>25</v>
      </c>
      <c r="R454" s="10">
        <v>-21176.68</v>
      </c>
      <c r="S454" s="10">
        <v>-11096.62</v>
      </c>
      <c r="T454" s="9" t="s">
        <v>29</v>
      </c>
      <c r="U454" s="9"/>
      <c r="V454" s="9"/>
      <c r="W454" s="9"/>
      <c r="X454" s="9"/>
      <c r="Y454" s="9"/>
      <c r="Z454" s="9"/>
      <c r="AA454" s="9"/>
      <c r="AB454" s="9"/>
    </row>
    <row r="455">
      <c r="A455" s="5">
        <v>42091.0</v>
      </c>
      <c r="B455" s="6">
        <v>2015.0</v>
      </c>
      <c r="C455" s="7" t="s">
        <v>71</v>
      </c>
      <c r="D455" s="7" t="s">
        <v>66</v>
      </c>
      <c r="E455" s="7" t="s">
        <v>39</v>
      </c>
      <c r="F455" s="6">
        <v>12181.0</v>
      </c>
      <c r="G455" s="6">
        <v>459484.67</v>
      </c>
      <c r="H455" s="6">
        <v>37.72</v>
      </c>
      <c r="I455" s="8">
        <v>41.15939331746162</v>
      </c>
      <c r="J455" s="6">
        <v>501362.57</v>
      </c>
      <c r="K455" s="6">
        <v>-41877.91</v>
      </c>
      <c r="L455" s="6">
        <v>-9.11</v>
      </c>
      <c r="M455" s="6">
        <f t="shared" si="1"/>
        <v>-3.437969789</v>
      </c>
      <c r="N455" s="6">
        <v>-9.11</v>
      </c>
      <c r="O455" s="7" t="s">
        <v>45</v>
      </c>
      <c r="P455" s="7" t="s">
        <v>46</v>
      </c>
      <c r="Q455" s="7" t="s">
        <v>25</v>
      </c>
      <c r="R455" s="10">
        <v>-32273.3</v>
      </c>
      <c r="S455" s="10">
        <v>-9604.61</v>
      </c>
      <c r="T455" s="9" t="s">
        <v>29</v>
      </c>
      <c r="U455" s="9"/>
      <c r="V455" s="9"/>
      <c r="W455" s="9"/>
      <c r="X455" s="9"/>
      <c r="Y455" s="9"/>
      <c r="Z455" s="9"/>
      <c r="AA455" s="9"/>
      <c r="AB455" s="9"/>
    </row>
    <row r="456">
      <c r="A456" s="5">
        <v>42092.0</v>
      </c>
      <c r="B456" s="6">
        <v>2015.0</v>
      </c>
      <c r="C456" s="7" t="s">
        <v>71</v>
      </c>
      <c r="D456" s="7" t="s">
        <v>67</v>
      </c>
      <c r="E456" s="7" t="s">
        <v>41</v>
      </c>
      <c r="F456" s="6">
        <v>5937.0</v>
      </c>
      <c r="G456" s="6">
        <v>224102.89</v>
      </c>
      <c r="H456" s="6">
        <v>37.75</v>
      </c>
      <c r="I456" s="8">
        <v>41.15880242546741</v>
      </c>
      <c r="J456" s="6">
        <v>244359.81</v>
      </c>
      <c r="K456" s="6">
        <v>-20256.92</v>
      </c>
      <c r="L456" s="6">
        <v>-9.04</v>
      </c>
      <c r="M456" s="6">
        <f t="shared" si="1"/>
        <v>-3.411979114</v>
      </c>
      <c r="N456" s="6">
        <v>-9.04</v>
      </c>
      <c r="O456" s="7" t="s">
        <v>45</v>
      </c>
      <c r="P456" s="7" t="s">
        <v>46</v>
      </c>
      <c r="Q456" s="7" t="s">
        <v>25</v>
      </c>
      <c r="R456" s="10">
        <v>-41877.91</v>
      </c>
      <c r="S456" s="10">
        <v>21620.99</v>
      </c>
      <c r="T456" s="9" t="s">
        <v>33</v>
      </c>
      <c r="U456" s="9"/>
      <c r="V456" s="9"/>
      <c r="W456" s="9"/>
      <c r="X456" s="9"/>
      <c r="Y456" s="9"/>
      <c r="Z456" s="9"/>
      <c r="AA456" s="9"/>
      <c r="AB456" s="9"/>
    </row>
    <row r="457">
      <c r="A457" s="5">
        <v>42093.0</v>
      </c>
      <c r="B457" s="6">
        <v>2015.0</v>
      </c>
      <c r="C457" s="7" t="s">
        <v>71</v>
      </c>
      <c r="D457" s="7" t="s">
        <v>21</v>
      </c>
      <c r="E457" s="7" t="s">
        <v>22</v>
      </c>
      <c r="F457" s="6">
        <v>5706.0</v>
      </c>
      <c r="G457" s="6">
        <v>215203.56</v>
      </c>
      <c r="H457" s="6">
        <v>37.72</v>
      </c>
      <c r="I457" s="8">
        <v>41.15307570977918</v>
      </c>
      <c r="J457" s="6">
        <v>234819.45</v>
      </c>
      <c r="K457" s="6">
        <v>-19615.89</v>
      </c>
      <c r="L457" s="6">
        <v>-9.12</v>
      </c>
      <c r="M457" s="6">
        <f t="shared" si="1"/>
        <v>-3.43776551</v>
      </c>
      <c r="N457" s="6">
        <v>-9.12</v>
      </c>
      <c r="O457" s="7" t="s">
        <v>45</v>
      </c>
      <c r="P457" s="7" t="s">
        <v>46</v>
      </c>
      <c r="Q457" s="7" t="s">
        <v>25</v>
      </c>
      <c r="R457" s="10">
        <v>-20256.92</v>
      </c>
      <c r="S457" s="10">
        <v>641.03</v>
      </c>
      <c r="T457" s="9" t="s">
        <v>33</v>
      </c>
      <c r="U457" s="9"/>
      <c r="V457" s="9"/>
      <c r="W457" s="9"/>
      <c r="X457" s="9"/>
      <c r="Y457" s="9"/>
      <c r="Z457" s="9"/>
      <c r="AA457" s="9"/>
      <c r="AB457" s="9"/>
    </row>
    <row r="458">
      <c r="A458" s="5">
        <v>42094.0</v>
      </c>
      <c r="B458" s="6">
        <v>2015.0</v>
      </c>
      <c r="C458" s="7" t="s">
        <v>71</v>
      </c>
      <c r="D458" s="7" t="s">
        <v>27</v>
      </c>
      <c r="E458" s="7" t="s">
        <v>28</v>
      </c>
      <c r="F458" s="6">
        <v>9421.0</v>
      </c>
      <c r="G458" s="6">
        <v>355534.91</v>
      </c>
      <c r="H458" s="6">
        <v>37.74</v>
      </c>
      <c r="I458" s="8">
        <v>41.07726462159006</v>
      </c>
      <c r="J458" s="6">
        <v>386988.91</v>
      </c>
      <c r="K458" s="6">
        <v>-31454.0</v>
      </c>
      <c r="L458" s="6">
        <v>-8.85</v>
      </c>
      <c r="M458" s="6">
        <f t="shared" si="1"/>
        <v>-3.338711389</v>
      </c>
      <c r="N458" s="6">
        <v>-8.85</v>
      </c>
      <c r="O458" s="7" t="s">
        <v>45</v>
      </c>
      <c r="P458" s="7" t="s">
        <v>46</v>
      </c>
      <c r="Q458" s="7" t="s">
        <v>25</v>
      </c>
      <c r="R458" s="10">
        <v>-19615.89</v>
      </c>
      <c r="S458" s="10">
        <v>-11838.11</v>
      </c>
      <c r="T458" s="9" t="s">
        <v>29</v>
      </c>
      <c r="U458" s="9"/>
      <c r="V458" s="9"/>
      <c r="W458" s="9"/>
      <c r="X458" s="9"/>
      <c r="Y458" s="9"/>
      <c r="Z458" s="9"/>
      <c r="AA458" s="9"/>
      <c r="AB458" s="9"/>
    </row>
    <row r="459">
      <c r="A459" s="5">
        <v>42095.0</v>
      </c>
      <c r="B459" s="6">
        <v>2015.0</v>
      </c>
      <c r="C459" s="7" t="s">
        <v>72</v>
      </c>
      <c r="D459" s="7" t="s">
        <v>31</v>
      </c>
      <c r="E459" s="7" t="s">
        <v>32</v>
      </c>
      <c r="F459" s="6">
        <v>13207.0</v>
      </c>
      <c r="G459" s="6">
        <v>498894.34</v>
      </c>
      <c r="H459" s="6">
        <v>37.77</v>
      </c>
      <c r="I459" s="8">
        <v>41.075478155523584</v>
      </c>
      <c r="J459" s="6">
        <v>542483.84</v>
      </c>
      <c r="K459" s="6">
        <v>-43589.49</v>
      </c>
      <c r="L459" s="6">
        <v>-8.74</v>
      </c>
      <c r="M459" s="6">
        <f t="shared" si="1"/>
        <v>-3.300483834</v>
      </c>
      <c r="N459" s="6">
        <v>-8.74</v>
      </c>
      <c r="O459" s="7" t="s">
        <v>45</v>
      </c>
      <c r="P459" s="7" t="s">
        <v>46</v>
      </c>
      <c r="Q459" s="7" t="s">
        <v>25</v>
      </c>
      <c r="R459" s="10">
        <v>-31454.0</v>
      </c>
      <c r="S459" s="10">
        <v>-12135.49</v>
      </c>
      <c r="T459" s="9" t="s">
        <v>29</v>
      </c>
      <c r="U459" s="9"/>
      <c r="V459" s="9"/>
      <c r="W459" s="9"/>
      <c r="X459" s="9"/>
      <c r="Y459" s="9"/>
      <c r="Z459" s="9"/>
      <c r="AA459" s="9"/>
      <c r="AB459" s="9"/>
    </row>
    <row r="460">
      <c r="A460" s="5">
        <v>42096.0</v>
      </c>
      <c r="B460" s="6">
        <v>2015.0</v>
      </c>
      <c r="C460" s="7" t="s">
        <v>72</v>
      </c>
      <c r="D460" s="7" t="s">
        <v>34</v>
      </c>
      <c r="E460" s="7" t="s">
        <v>35</v>
      </c>
      <c r="F460" s="6">
        <v>18936.0</v>
      </c>
      <c r="G460" s="6">
        <v>715032.19</v>
      </c>
      <c r="H460" s="6">
        <v>37.76</v>
      </c>
      <c r="I460" s="8">
        <v>41.060529678918456</v>
      </c>
      <c r="J460" s="6">
        <v>777522.19</v>
      </c>
      <c r="K460" s="6">
        <v>-62490.0</v>
      </c>
      <c r="L460" s="6">
        <v>-8.74</v>
      </c>
      <c r="M460" s="6">
        <f t="shared" si="1"/>
        <v>-3.300063371</v>
      </c>
      <c r="N460" s="6">
        <v>-8.74</v>
      </c>
      <c r="O460" s="7" t="s">
        <v>45</v>
      </c>
      <c r="P460" s="7" t="s">
        <v>46</v>
      </c>
      <c r="Q460" s="7" t="s">
        <v>25</v>
      </c>
      <c r="R460" s="10">
        <v>-43589.49</v>
      </c>
      <c r="S460" s="10">
        <v>-18900.51</v>
      </c>
      <c r="T460" s="9" t="s">
        <v>29</v>
      </c>
      <c r="U460" s="9"/>
      <c r="V460" s="9"/>
      <c r="W460" s="9"/>
      <c r="X460" s="9"/>
      <c r="Y460" s="9"/>
      <c r="Z460" s="9"/>
      <c r="AA460" s="9"/>
      <c r="AB460" s="9"/>
    </row>
    <row r="461">
      <c r="A461" s="5">
        <v>42097.0</v>
      </c>
      <c r="B461" s="6">
        <v>2015.0</v>
      </c>
      <c r="C461" s="7" t="s">
        <v>72</v>
      </c>
      <c r="D461" s="7" t="s">
        <v>36</v>
      </c>
      <c r="E461" s="7" t="s">
        <v>37</v>
      </c>
      <c r="F461" s="6">
        <v>13503.0</v>
      </c>
      <c r="G461" s="6">
        <v>510289.22</v>
      </c>
      <c r="H461" s="6">
        <v>37.79</v>
      </c>
      <c r="I461" s="8">
        <v>41.03975560986447</v>
      </c>
      <c r="J461" s="6">
        <v>554159.82</v>
      </c>
      <c r="K461" s="6">
        <v>-43870.6</v>
      </c>
      <c r="L461" s="6">
        <v>-8.6</v>
      </c>
      <c r="M461" s="6">
        <f t="shared" si="1"/>
        <v>-3.248952085</v>
      </c>
      <c r="N461" s="6">
        <v>-8.6</v>
      </c>
      <c r="O461" s="7" t="s">
        <v>45</v>
      </c>
      <c r="P461" s="7" t="s">
        <v>46</v>
      </c>
      <c r="Q461" s="7" t="s">
        <v>25</v>
      </c>
      <c r="R461" s="10">
        <v>-62490.0</v>
      </c>
      <c r="S461" s="10">
        <v>18619.4</v>
      </c>
      <c r="T461" s="9" t="s">
        <v>33</v>
      </c>
      <c r="U461" s="9"/>
      <c r="V461" s="9"/>
      <c r="W461" s="9"/>
      <c r="X461" s="9"/>
      <c r="Y461" s="9"/>
      <c r="Z461" s="9"/>
      <c r="AA461" s="9"/>
      <c r="AB461" s="9"/>
    </row>
    <row r="462">
      <c r="A462" s="5">
        <v>42098.0</v>
      </c>
      <c r="B462" s="6">
        <v>2015.0</v>
      </c>
      <c r="C462" s="7" t="s">
        <v>72</v>
      </c>
      <c r="D462" s="7" t="s">
        <v>38</v>
      </c>
      <c r="E462" s="7" t="s">
        <v>39</v>
      </c>
      <c r="F462" s="6">
        <v>10600.0</v>
      </c>
      <c r="G462" s="6">
        <v>400302.04</v>
      </c>
      <c r="H462" s="6">
        <v>37.76</v>
      </c>
      <c r="I462" s="8">
        <v>41.02572924528302</v>
      </c>
      <c r="J462" s="6">
        <v>434872.73</v>
      </c>
      <c r="K462" s="6">
        <v>-34570.69</v>
      </c>
      <c r="L462" s="6">
        <v>-8.64</v>
      </c>
      <c r="M462" s="6">
        <f t="shared" si="1"/>
        <v>-3.261385849</v>
      </c>
      <c r="N462" s="6">
        <v>-8.64</v>
      </c>
      <c r="O462" s="7" t="s">
        <v>45</v>
      </c>
      <c r="P462" s="7" t="s">
        <v>46</v>
      </c>
      <c r="Q462" s="7" t="s">
        <v>25</v>
      </c>
      <c r="R462" s="10">
        <v>-43870.6</v>
      </c>
      <c r="S462" s="10">
        <v>9299.91</v>
      </c>
      <c r="T462" s="9" t="s">
        <v>33</v>
      </c>
      <c r="U462" s="9"/>
      <c r="V462" s="9"/>
      <c r="W462" s="9"/>
      <c r="X462" s="9"/>
      <c r="Y462" s="9"/>
      <c r="Z462" s="9"/>
      <c r="AA462" s="9"/>
      <c r="AB462" s="9"/>
    </row>
    <row r="463">
      <c r="A463" s="5">
        <v>42099.0</v>
      </c>
      <c r="B463" s="6">
        <v>2015.0</v>
      </c>
      <c r="C463" s="7" t="s">
        <v>72</v>
      </c>
      <c r="D463" s="7" t="s">
        <v>40</v>
      </c>
      <c r="E463" s="7" t="s">
        <v>41</v>
      </c>
      <c r="F463" s="6">
        <v>3591.0</v>
      </c>
      <c r="G463" s="6">
        <v>135578.2</v>
      </c>
      <c r="H463" s="6">
        <v>37.75</v>
      </c>
      <c r="I463" s="8">
        <v>41.02922027290448</v>
      </c>
      <c r="J463" s="6">
        <v>147335.93</v>
      </c>
      <c r="K463" s="6">
        <v>-11757.72</v>
      </c>
      <c r="L463" s="6">
        <v>-8.67</v>
      </c>
      <c r="M463" s="6">
        <f t="shared" si="1"/>
        <v>-3.274218881</v>
      </c>
      <c r="N463" s="6">
        <v>-8.67</v>
      </c>
      <c r="O463" s="7" t="s">
        <v>45</v>
      </c>
      <c r="P463" s="7" t="s">
        <v>46</v>
      </c>
      <c r="Q463" s="7" t="s">
        <v>25</v>
      </c>
      <c r="R463" s="10">
        <v>-34570.69</v>
      </c>
      <c r="S463" s="10">
        <v>22812.97</v>
      </c>
      <c r="T463" s="9" t="s">
        <v>33</v>
      </c>
      <c r="U463" s="9"/>
      <c r="V463" s="9"/>
      <c r="W463" s="9"/>
      <c r="X463" s="9"/>
      <c r="Y463" s="9"/>
      <c r="Z463" s="9"/>
      <c r="AA463" s="9"/>
      <c r="AB463" s="9"/>
    </row>
    <row r="464">
      <c r="A464" s="5">
        <v>42100.0</v>
      </c>
      <c r="B464" s="6">
        <v>2015.0</v>
      </c>
      <c r="C464" s="7" t="s">
        <v>72</v>
      </c>
      <c r="D464" s="7" t="s">
        <v>42</v>
      </c>
      <c r="E464" s="7" t="s">
        <v>22</v>
      </c>
      <c r="F464" s="6">
        <v>4836.0</v>
      </c>
      <c r="G464" s="6">
        <v>182466.26</v>
      </c>
      <c r="H464" s="6">
        <v>37.73</v>
      </c>
      <c r="I464" s="8">
        <v>41.02672249793218</v>
      </c>
      <c r="J464" s="6">
        <v>198405.23</v>
      </c>
      <c r="K464" s="6">
        <v>-15938.97</v>
      </c>
      <c r="L464" s="6">
        <v>-8.74</v>
      </c>
      <c r="M464" s="6">
        <f t="shared" si="1"/>
        <v>-3.295899504</v>
      </c>
      <c r="N464" s="6">
        <v>-8.74</v>
      </c>
      <c r="O464" s="7" t="s">
        <v>45</v>
      </c>
      <c r="P464" s="7" t="s">
        <v>46</v>
      </c>
      <c r="Q464" s="7" t="s">
        <v>25</v>
      </c>
      <c r="R464" s="10">
        <v>-11757.72</v>
      </c>
      <c r="S464" s="10">
        <v>-4181.25</v>
      </c>
      <c r="T464" s="9" t="s">
        <v>29</v>
      </c>
      <c r="U464" s="9"/>
      <c r="V464" s="9"/>
      <c r="W464" s="9"/>
      <c r="X464" s="9"/>
      <c r="Y464" s="9"/>
      <c r="Z464" s="9"/>
      <c r="AA464" s="9"/>
      <c r="AB464" s="9"/>
    </row>
    <row r="465">
      <c r="A465" s="5">
        <v>42101.0</v>
      </c>
      <c r="B465" s="6">
        <v>2015.0</v>
      </c>
      <c r="C465" s="7" t="s">
        <v>72</v>
      </c>
      <c r="D465" s="7" t="s">
        <v>43</v>
      </c>
      <c r="E465" s="7" t="s">
        <v>28</v>
      </c>
      <c r="F465" s="6">
        <v>4348.0</v>
      </c>
      <c r="G465" s="6">
        <v>176814.2</v>
      </c>
      <c r="H465" s="6">
        <v>40.67</v>
      </c>
      <c r="I465" s="8">
        <v>41.02809337626495</v>
      </c>
      <c r="J465" s="6">
        <v>178390.15</v>
      </c>
      <c r="K465" s="6">
        <v>-1575.95</v>
      </c>
      <c r="L465" s="6">
        <v>-0.89</v>
      </c>
      <c r="M465" s="6">
        <f t="shared" si="1"/>
        <v>-0.3624540018</v>
      </c>
      <c r="N465" s="6">
        <v>-0.89</v>
      </c>
      <c r="O465" s="7" t="s">
        <v>45</v>
      </c>
      <c r="P465" s="7" t="s">
        <v>46</v>
      </c>
      <c r="Q465" s="7" t="s">
        <v>25</v>
      </c>
      <c r="R465" s="10">
        <v>-15938.97</v>
      </c>
      <c r="S465" s="10">
        <v>14363.03</v>
      </c>
      <c r="T465" s="9" t="s">
        <v>33</v>
      </c>
      <c r="U465" s="9"/>
      <c r="V465" s="9"/>
      <c r="W465" s="9"/>
      <c r="X465" s="9"/>
      <c r="Y465" s="9"/>
      <c r="Z465" s="9"/>
      <c r="AA465" s="9"/>
      <c r="AB465" s="9"/>
    </row>
    <row r="466">
      <c r="A466" s="5">
        <v>42102.0</v>
      </c>
      <c r="B466" s="6">
        <v>2015.0</v>
      </c>
      <c r="C466" s="7" t="s">
        <v>72</v>
      </c>
      <c r="D466" s="7" t="s">
        <v>44</v>
      </c>
      <c r="E466" s="7" t="s">
        <v>32</v>
      </c>
      <c r="F466" s="6">
        <v>2451.0</v>
      </c>
      <c r="G466" s="6">
        <v>100917.67</v>
      </c>
      <c r="H466" s="6">
        <v>41.17</v>
      </c>
      <c r="I466" s="8">
        <v>41.03595675234598</v>
      </c>
      <c r="J466" s="6">
        <v>100579.13</v>
      </c>
      <c r="K466" s="6">
        <v>338.54</v>
      </c>
      <c r="L466" s="6">
        <v>0.34</v>
      </c>
      <c r="M466" s="6">
        <f t="shared" si="1"/>
        <v>0.138123215</v>
      </c>
      <c r="N466" s="6">
        <v>0.34</v>
      </c>
      <c r="O466" s="7" t="s">
        <v>45</v>
      </c>
      <c r="P466" s="7" t="s">
        <v>46</v>
      </c>
      <c r="Q466" s="7" t="s">
        <v>25</v>
      </c>
      <c r="R466" s="10">
        <v>-1575.95</v>
      </c>
      <c r="S466" s="10">
        <v>1914.49</v>
      </c>
      <c r="T466" s="9" t="s">
        <v>33</v>
      </c>
      <c r="U466" s="9"/>
      <c r="V466" s="9"/>
      <c r="W466" s="9"/>
      <c r="X466" s="9"/>
      <c r="Y466" s="9"/>
      <c r="Z466" s="9"/>
      <c r="AA466" s="9"/>
      <c r="AB466" s="9"/>
    </row>
    <row r="467">
      <c r="A467" s="5">
        <v>42103.0</v>
      </c>
      <c r="B467" s="6">
        <v>2015.0</v>
      </c>
      <c r="C467" s="7" t="s">
        <v>72</v>
      </c>
      <c r="D467" s="7" t="s">
        <v>47</v>
      </c>
      <c r="E467" s="7" t="s">
        <v>35</v>
      </c>
      <c r="F467" s="6">
        <v>1814.0</v>
      </c>
      <c r="G467" s="6">
        <v>74690.67</v>
      </c>
      <c r="H467" s="6">
        <v>41.17</v>
      </c>
      <c r="I467" s="8">
        <v>41.029542447629545</v>
      </c>
      <c r="J467" s="6">
        <v>74427.59</v>
      </c>
      <c r="K467" s="6">
        <v>263.09</v>
      </c>
      <c r="L467" s="6">
        <v>0.35</v>
      </c>
      <c r="M467" s="6">
        <f t="shared" si="1"/>
        <v>0.1450330761</v>
      </c>
      <c r="N467" s="6">
        <v>0.35</v>
      </c>
      <c r="O467" s="7" t="s">
        <v>45</v>
      </c>
      <c r="P467" s="7" t="s">
        <v>46</v>
      </c>
      <c r="Q467" s="7" t="s">
        <v>25</v>
      </c>
      <c r="R467" s="10">
        <v>338.54</v>
      </c>
      <c r="S467" s="10">
        <v>-75.46</v>
      </c>
      <c r="T467" s="9" t="s">
        <v>29</v>
      </c>
      <c r="U467" s="9"/>
      <c r="V467" s="9"/>
      <c r="W467" s="9"/>
      <c r="X467" s="9"/>
      <c r="Y467" s="9"/>
      <c r="Z467" s="9"/>
      <c r="AA467" s="9"/>
      <c r="AB467" s="9"/>
    </row>
    <row r="468">
      <c r="A468" s="5">
        <v>42104.0</v>
      </c>
      <c r="B468" s="6">
        <v>2015.0</v>
      </c>
      <c r="C468" s="7" t="s">
        <v>72</v>
      </c>
      <c r="D468" s="7" t="s">
        <v>48</v>
      </c>
      <c r="E468" s="7" t="s">
        <v>37</v>
      </c>
      <c r="F468" s="6">
        <v>2770.0</v>
      </c>
      <c r="G468" s="6">
        <v>114067.08</v>
      </c>
      <c r="H468" s="6">
        <v>41.18</v>
      </c>
      <c r="I468" s="8">
        <v>41.03031407942238</v>
      </c>
      <c r="J468" s="6">
        <v>113653.97</v>
      </c>
      <c r="K468" s="6">
        <v>413.1</v>
      </c>
      <c r="L468" s="6">
        <v>0.36</v>
      </c>
      <c r="M468" s="6">
        <f t="shared" si="1"/>
        <v>0.149133574</v>
      </c>
      <c r="N468" s="6">
        <v>0.36</v>
      </c>
      <c r="O468" s="7" t="s">
        <v>45</v>
      </c>
      <c r="P468" s="7" t="s">
        <v>46</v>
      </c>
      <c r="Q468" s="7" t="s">
        <v>25</v>
      </c>
      <c r="R468" s="10">
        <v>263.09</v>
      </c>
      <c r="S468" s="10">
        <v>150.02</v>
      </c>
      <c r="T468" s="9" t="s">
        <v>33</v>
      </c>
      <c r="U468" s="9"/>
      <c r="V468" s="9"/>
      <c r="W468" s="9"/>
      <c r="X468" s="9"/>
      <c r="Y468" s="9"/>
      <c r="Z468" s="9"/>
      <c r="AA468" s="9"/>
      <c r="AB468" s="9"/>
    </row>
    <row r="469">
      <c r="A469" s="5">
        <v>42105.0</v>
      </c>
      <c r="B469" s="6">
        <v>2015.0</v>
      </c>
      <c r="C469" s="7" t="s">
        <v>72</v>
      </c>
      <c r="D469" s="7" t="s">
        <v>49</v>
      </c>
      <c r="E469" s="7" t="s">
        <v>39</v>
      </c>
      <c r="F469" s="6">
        <v>3072.0</v>
      </c>
      <c r="G469" s="6">
        <v>126507.8</v>
      </c>
      <c r="H469" s="6">
        <v>41.18</v>
      </c>
      <c r="I469" s="8">
        <v>41.029873046875004</v>
      </c>
      <c r="J469" s="6">
        <v>126043.77</v>
      </c>
      <c r="K469" s="6">
        <v>464.03</v>
      </c>
      <c r="L469" s="6">
        <v>0.37</v>
      </c>
      <c r="M469" s="6">
        <f t="shared" si="1"/>
        <v>0.1510514323</v>
      </c>
      <c r="N469" s="6">
        <v>0.37</v>
      </c>
      <c r="O469" s="7" t="s">
        <v>45</v>
      </c>
      <c r="P469" s="7" t="s">
        <v>46</v>
      </c>
      <c r="Q469" s="7" t="s">
        <v>25</v>
      </c>
      <c r="R469" s="10">
        <v>413.1</v>
      </c>
      <c r="S469" s="10">
        <v>50.93</v>
      </c>
      <c r="T469" s="9" t="s">
        <v>33</v>
      </c>
      <c r="U469" s="9"/>
      <c r="V469" s="9"/>
      <c r="W469" s="9"/>
      <c r="X469" s="9"/>
      <c r="Y469" s="9"/>
      <c r="Z469" s="9"/>
      <c r="AA469" s="9"/>
      <c r="AB469" s="9"/>
    </row>
    <row r="470">
      <c r="A470" s="5">
        <v>42106.0</v>
      </c>
      <c r="B470" s="6">
        <v>2015.0</v>
      </c>
      <c r="C470" s="7" t="s">
        <v>72</v>
      </c>
      <c r="D470" s="7" t="s">
        <v>50</v>
      </c>
      <c r="E470" s="7" t="s">
        <v>41</v>
      </c>
      <c r="F470" s="6">
        <v>1934.0</v>
      </c>
      <c r="G470" s="6">
        <v>79648.63</v>
      </c>
      <c r="H470" s="6">
        <v>41.18</v>
      </c>
      <c r="I470" s="8">
        <v>41.028645294725955</v>
      </c>
      <c r="J470" s="6">
        <v>79349.4</v>
      </c>
      <c r="K470" s="6">
        <v>299.23</v>
      </c>
      <c r="L470" s="6">
        <v>0.38</v>
      </c>
      <c r="M470" s="6">
        <f t="shared" si="1"/>
        <v>0.1547207859</v>
      </c>
      <c r="N470" s="6">
        <v>0.38</v>
      </c>
      <c r="O470" s="7" t="s">
        <v>45</v>
      </c>
      <c r="P470" s="7" t="s">
        <v>46</v>
      </c>
      <c r="Q470" s="7" t="s">
        <v>25</v>
      </c>
      <c r="R470" s="10">
        <v>464.03</v>
      </c>
      <c r="S470" s="10">
        <v>-164.8</v>
      </c>
      <c r="T470" s="9" t="s">
        <v>29</v>
      </c>
      <c r="U470" s="9"/>
      <c r="V470" s="9"/>
      <c r="W470" s="9"/>
      <c r="X470" s="9"/>
      <c r="Y470" s="9"/>
      <c r="Z470" s="9"/>
      <c r="AA470" s="9"/>
      <c r="AB470" s="9"/>
    </row>
    <row r="471">
      <c r="A471" s="5">
        <v>42107.0</v>
      </c>
      <c r="B471" s="6">
        <v>2015.0</v>
      </c>
      <c r="C471" s="7" t="s">
        <v>72</v>
      </c>
      <c r="D471" s="7" t="s">
        <v>51</v>
      </c>
      <c r="E471" s="7" t="s">
        <v>22</v>
      </c>
      <c r="F471" s="6">
        <v>2019.0</v>
      </c>
      <c r="G471" s="6">
        <v>83137.43</v>
      </c>
      <c r="H471" s="6">
        <v>41.18</v>
      </c>
      <c r="I471" s="8">
        <v>40.961045071817736</v>
      </c>
      <c r="J471" s="6">
        <v>82700.35</v>
      </c>
      <c r="K471" s="6">
        <v>437.08</v>
      </c>
      <c r="L471" s="6">
        <v>0.53</v>
      </c>
      <c r="M471" s="6">
        <f t="shared" si="1"/>
        <v>0.2164834076</v>
      </c>
      <c r="N471" s="6">
        <v>0.53</v>
      </c>
      <c r="O471" s="7" t="s">
        <v>45</v>
      </c>
      <c r="P471" s="7" t="s">
        <v>46</v>
      </c>
      <c r="Q471" s="7" t="s">
        <v>25</v>
      </c>
      <c r="R471" s="10">
        <v>299.23</v>
      </c>
      <c r="S471" s="10">
        <v>137.85</v>
      </c>
      <c r="T471" s="9" t="s">
        <v>33</v>
      </c>
      <c r="U471" s="9"/>
      <c r="V471" s="9"/>
      <c r="W471" s="9"/>
      <c r="X471" s="9"/>
      <c r="Y471" s="9"/>
      <c r="Z471" s="9"/>
      <c r="AA471" s="9"/>
      <c r="AB471" s="9"/>
    </row>
    <row r="472">
      <c r="A472" s="5">
        <v>42108.0</v>
      </c>
      <c r="B472" s="6">
        <v>2015.0</v>
      </c>
      <c r="C472" s="7" t="s">
        <v>72</v>
      </c>
      <c r="D472" s="7" t="s">
        <v>52</v>
      </c>
      <c r="E472" s="7" t="s">
        <v>28</v>
      </c>
      <c r="F472" s="6">
        <v>979.0</v>
      </c>
      <c r="G472" s="6">
        <v>40776.03</v>
      </c>
      <c r="H472" s="6">
        <v>41.65</v>
      </c>
      <c r="I472" s="8">
        <v>40.79693564862104</v>
      </c>
      <c r="J472" s="6">
        <v>39940.2</v>
      </c>
      <c r="K472" s="6">
        <v>835.83</v>
      </c>
      <c r="L472" s="6">
        <v>2.05</v>
      </c>
      <c r="M472" s="6">
        <f t="shared" si="1"/>
        <v>0.8537589377</v>
      </c>
      <c r="N472" s="6">
        <v>2.05</v>
      </c>
      <c r="O472" s="7" t="s">
        <v>45</v>
      </c>
      <c r="P472" s="7" t="s">
        <v>46</v>
      </c>
      <c r="Q472" s="7" t="s">
        <v>25</v>
      </c>
      <c r="R472" s="10">
        <v>437.08</v>
      </c>
      <c r="S472" s="10">
        <v>398.75</v>
      </c>
      <c r="T472" s="9" t="s">
        <v>33</v>
      </c>
      <c r="U472" s="9"/>
      <c r="V472" s="9"/>
      <c r="W472" s="9"/>
      <c r="X472" s="9"/>
      <c r="Y472" s="9"/>
      <c r="Z472" s="9"/>
      <c r="AA472" s="9"/>
      <c r="AB472" s="9"/>
    </row>
    <row r="473">
      <c r="A473" s="5">
        <v>42109.0</v>
      </c>
      <c r="B473" s="6">
        <v>2015.0</v>
      </c>
      <c r="C473" s="7" t="s">
        <v>72</v>
      </c>
      <c r="D473" s="7" t="s">
        <v>53</v>
      </c>
      <c r="E473" s="7" t="s">
        <v>32</v>
      </c>
      <c r="F473" s="6">
        <v>1398.0</v>
      </c>
      <c r="G473" s="6">
        <v>58278.46</v>
      </c>
      <c r="H473" s="6">
        <v>41.69</v>
      </c>
      <c r="I473" s="8">
        <v>40.75101573676681</v>
      </c>
      <c r="J473" s="6">
        <v>56969.92</v>
      </c>
      <c r="K473" s="6">
        <v>1308.54</v>
      </c>
      <c r="L473" s="6">
        <v>2.25</v>
      </c>
      <c r="M473" s="6">
        <f t="shared" si="1"/>
        <v>0.9360085837</v>
      </c>
      <c r="N473" s="6">
        <v>2.25</v>
      </c>
      <c r="O473" s="7" t="s">
        <v>45</v>
      </c>
      <c r="P473" s="7" t="s">
        <v>46</v>
      </c>
      <c r="Q473" s="7" t="s">
        <v>25</v>
      </c>
      <c r="R473" s="10">
        <v>835.83</v>
      </c>
      <c r="S473" s="10">
        <v>472.71</v>
      </c>
      <c r="T473" s="9" t="s">
        <v>33</v>
      </c>
      <c r="U473" s="9"/>
      <c r="V473" s="9"/>
      <c r="W473" s="9"/>
      <c r="X473" s="9"/>
      <c r="Y473" s="9"/>
      <c r="Z473" s="9"/>
      <c r="AA473" s="9"/>
      <c r="AB473" s="9"/>
    </row>
    <row r="474">
      <c r="A474" s="5">
        <v>42110.0</v>
      </c>
      <c r="B474" s="6">
        <v>2015.0</v>
      </c>
      <c r="C474" s="7" t="s">
        <v>72</v>
      </c>
      <c r="D474" s="7" t="s">
        <v>54</v>
      </c>
      <c r="E474" s="7" t="s">
        <v>35</v>
      </c>
      <c r="F474" s="6">
        <v>1198.0</v>
      </c>
      <c r="G474" s="6">
        <v>50000.1</v>
      </c>
      <c r="H474" s="6">
        <v>41.74</v>
      </c>
      <c r="I474" s="8">
        <v>40.75783806343907</v>
      </c>
      <c r="J474" s="6">
        <v>48827.89</v>
      </c>
      <c r="K474" s="6">
        <v>1172.22</v>
      </c>
      <c r="L474" s="6">
        <v>2.34</v>
      </c>
      <c r="M474" s="6">
        <f t="shared" si="1"/>
        <v>0.9784808013</v>
      </c>
      <c r="N474" s="6">
        <v>2.34</v>
      </c>
      <c r="O474" s="7" t="s">
        <v>45</v>
      </c>
      <c r="P474" s="7" t="s">
        <v>46</v>
      </c>
      <c r="Q474" s="7" t="s">
        <v>25</v>
      </c>
      <c r="R474" s="10">
        <v>1308.54</v>
      </c>
      <c r="S474" s="10">
        <v>-136.32</v>
      </c>
      <c r="T474" s="9" t="s">
        <v>29</v>
      </c>
      <c r="U474" s="9"/>
      <c r="V474" s="9"/>
      <c r="W474" s="9"/>
      <c r="X474" s="9"/>
      <c r="Y474" s="9"/>
      <c r="Z474" s="9"/>
      <c r="AA474" s="9"/>
      <c r="AB474" s="9"/>
    </row>
    <row r="475">
      <c r="A475" s="5">
        <v>42111.0</v>
      </c>
      <c r="B475" s="6">
        <v>2015.0</v>
      </c>
      <c r="C475" s="7" t="s">
        <v>72</v>
      </c>
      <c r="D475" s="7" t="s">
        <v>55</v>
      </c>
      <c r="E475" s="7" t="s">
        <v>37</v>
      </c>
      <c r="F475" s="6">
        <v>2485.0</v>
      </c>
      <c r="G475" s="6">
        <v>103911.92</v>
      </c>
      <c r="H475" s="6">
        <v>41.82</v>
      </c>
      <c r="I475" s="8">
        <v>40.80843058350101</v>
      </c>
      <c r="J475" s="6">
        <v>101408.95</v>
      </c>
      <c r="K475" s="6">
        <v>2502.97</v>
      </c>
      <c r="L475" s="6">
        <v>2.41</v>
      </c>
      <c r="M475" s="6">
        <f t="shared" si="1"/>
        <v>1.007231388</v>
      </c>
      <c r="N475" s="6">
        <v>2.41</v>
      </c>
      <c r="O475" s="7" t="s">
        <v>45</v>
      </c>
      <c r="P475" s="7" t="s">
        <v>46</v>
      </c>
      <c r="Q475" s="7" t="s">
        <v>25</v>
      </c>
      <c r="R475" s="10">
        <v>1172.22</v>
      </c>
      <c r="S475" s="10">
        <v>1330.75</v>
      </c>
      <c r="T475" s="9" t="s">
        <v>33</v>
      </c>
      <c r="U475" s="9"/>
      <c r="V475" s="9"/>
      <c r="W475" s="9"/>
      <c r="X475" s="9"/>
      <c r="Y475" s="9"/>
      <c r="Z475" s="9"/>
      <c r="AA475" s="9"/>
      <c r="AB475" s="9"/>
    </row>
    <row r="476">
      <c r="A476" s="5">
        <v>42112.0</v>
      </c>
      <c r="B476" s="6">
        <v>2015.0</v>
      </c>
      <c r="C476" s="7" t="s">
        <v>72</v>
      </c>
      <c r="D476" s="7" t="s">
        <v>56</v>
      </c>
      <c r="E476" s="7" t="s">
        <v>39</v>
      </c>
      <c r="F476" s="6">
        <v>3172.0</v>
      </c>
      <c r="G476" s="6">
        <v>132843.22</v>
      </c>
      <c r="H476" s="6">
        <v>41.88</v>
      </c>
      <c r="I476" s="8">
        <v>40.84033102143758</v>
      </c>
      <c r="J476" s="6">
        <v>129545.53</v>
      </c>
      <c r="K476" s="6">
        <v>3297.69</v>
      </c>
      <c r="L476" s="6">
        <v>2.48</v>
      </c>
      <c r="M476" s="6">
        <f t="shared" si="1"/>
        <v>1.039624842</v>
      </c>
      <c r="N476" s="6">
        <v>2.48</v>
      </c>
      <c r="O476" s="7" t="s">
        <v>45</v>
      </c>
      <c r="P476" s="7" t="s">
        <v>46</v>
      </c>
      <c r="Q476" s="7" t="s">
        <v>25</v>
      </c>
      <c r="R476" s="10">
        <v>2502.97</v>
      </c>
      <c r="S476" s="10">
        <v>794.72</v>
      </c>
      <c r="T476" s="9" t="s">
        <v>33</v>
      </c>
      <c r="U476" s="9"/>
      <c r="V476" s="9"/>
      <c r="W476" s="9"/>
      <c r="X476" s="9"/>
      <c r="Y476" s="9"/>
      <c r="Z476" s="9"/>
      <c r="AA476" s="9"/>
      <c r="AB476" s="9"/>
    </row>
    <row r="477">
      <c r="A477" s="5">
        <v>42113.0</v>
      </c>
      <c r="B477" s="6">
        <v>2015.0</v>
      </c>
      <c r="C477" s="7" t="s">
        <v>72</v>
      </c>
      <c r="D477" s="7" t="s">
        <v>57</v>
      </c>
      <c r="E477" s="7" t="s">
        <v>41</v>
      </c>
      <c r="F477" s="6">
        <v>1497.0</v>
      </c>
      <c r="G477" s="6">
        <v>62786.61</v>
      </c>
      <c r="H477" s="6">
        <v>41.94</v>
      </c>
      <c r="I477" s="8">
        <v>40.89062124248497</v>
      </c>
      <c r="J477" s="6">
        <v>61213.26</v>
      </c>
      <c r="K477" s="6">
        <v>1573.36</v>
      </c>
      <c r="L477" s="6">
        <v>2.51</v>
      </c>
      <c r="M477" s="6">
        <f t="shared" si="1"/>
        <v>1.051008684</v>
      </c>
      <c r="N477" s="6">
        <v>2.51</v>
      </c>
      <c r="O477" s="7" t="s">
        <v>45</v>
      </c>
      <c r="P477" s="7" t="s">
        <v>46</v>
      </c>
      <c r="Q477" s="7" t="s">
        <v>25</v>
      </c>
      <c r="R477" s="10">
        <v>3297.69</v>
      </c>
      <c r="S477" s="10">
        <v>-1724.34</v>
      </c>
      <c r="T477" s="9" t="s">
        <v>29</v>
      </c>
      <c r="U477" s="9"/>
      <c r="V477" s="9"/>
      <c r="W477" s="9"/>
      <c r="X477" s="9"/>
      <c r="Y477" s="9"/>
      <c r="Z477" s="9"/>
      <c r="AA477" s="9"/>
      <c r="AB477" s="9"/>
    </row>
    <row r="478">
      <c r="A478" s="5">
        <v>42114.0</v>
      </c>
      <c r="B478" s="6">
        <v>2015.0</v>
      </c>
      <c r="C478" s="7" t="s">
        <v>72</v>
      </c>
      <c r="D478" s="7" t="s">
        <v>58</v>
      </c>
      <c r="E478" s="7" t="s">
        <v>22</v>
      </c>
      <c r="F478" s="6">
        <v>1365.0</v>
      </c>
      <c r="G478" s="6">
        <v>57233.41</v>
      </c>
      <c r="H478" s="6">
        <v>41.93</v>
      </c>
      <c r="I478" s="8">
        <v>40.8109010989011</v>
      </c>
      <c r="J478" s="6">
        <v>55706.88</v>
      </c>
      <c r="K478" s="6">
        <v>1526.53</v>
      </c>
      <c r="L478" s="6">
        <v>2.67</v>
      </c>
      <c r="M478" s="6">
        <f t="shared" si="1"/>
        <v>1.118336996</v>
      </c>
      <c r="N478" s="6">
        <v>2.67</v>
      </c>
      <c r="O478" s="7" t="s">
        <v>45</v>
      </c>
      <c r="P478" s="7" t="s">
        <v>46</v>
      </c>
      <c r="Q478" s="7" t="s">
        <v>25</v>
      </c>
      <c r="R478" s="10">
        <v>1573.36</v>
      </c>
      <c r="S478" s="10">
        <v>-46.82</v>
      </c>
      <c r="T478" s="9" t="s">
        <v>29</v>
      </c>
      <c r="U478" s="9"/>
      <c r="V478" s="9"/>
      <c r="W478" s="9"/>
      <c r="X478" s="9"/>
      <c r="Y478" s="9"/>
      <c r="Z478" s="9"/>
      <c r="AA478" s="9"/>
      <c r="AB478" s="9"/>
    </row>
    <row r="479">
      <c r="A479" s="5">
        <v>42115.0</v>
      </c>
      <c r="B479" s="6">
        <v>2015.0</v>
      </c>
      <c r="C479" s="7" t="s">
        <v>72</v>
      </c>
      <c r="D479" s="7" t="s">
        <v>59</v>
      </c>
      <c r="E479" s="7" t="s">
        <v>28</v>
      </c>
      <c r="F479" s="6">
        <v>1353.0</v>
      </c>
      <c r="G479" s="6">
        <v>56874.35</v>
      </c>
      <c r="H479" s="6">
        <v>42.04</v>
      </c>
      <c r="I479" s="8">
        <v>40.77765705838876</v>
      </c>
      <c r="J479" s="6">
        <v>55172.17</v>
      </c>
      <c r="K479" s="6">
        <v>1702.17</v>
      </c>
      <c r="L479" s="6">
        <v>2.99</v>
      </c>
      <c r="M479" s="6">
        <f t="shared" si="1"/>
        <v>1.258070953</v>
      </c>
      <c r="N479" s="6">
        <v>2.99</v>
      </c>
      <c r="O479" s="7" t="s">
        <v>45</v>
      </c>
      <c r="P479" s="7" t="s">
        <v>46</v>
      </c>
      <c r="Q479" s="7" t="s">
        <v>25</v>
      </c>
      <c r="R479" s="10">
        <v>1526.53</v>
      </c>
      <c r="S479" s="10">
        <v>175.64</v>
      </c>
      <c r="T479" s="9" t="s">
        <v>33</v>
      </c>
      <c r="U479" s="9"/>
      <c r="V479" s="9"/>
      <c r="W479" s="9"/>
      <c r="X479" s="9"/>
      <c r="Y479" s="9"/>
      <c r="Z479" s="9"/>
      <c r="AA479" s="9"/>
      <c r="AB479" s="9"/>
    </row>
    <row r="480">
      <c r="A480" s="5">
        <v>42116.0</v>
      </c>
      <c r="B480" s="6">
        <v>2015.0</v>
      </c>
      <c r="C480" s="7" t="s">
        <v>72</v>
      </c>
      <c r="D480" s="7" t="s">
        <v>60</v>
      </c>
      <c r="E480" s="7" t="s">
        <v>32</v>
      </c>
      <c r="F480" s="6">
        <v>3439.0</v>
      </c>
      <c r="G480" s="6">
        <v>132737.74</v>
      </c>
      <c r="H480" s="6">
        <v>38.6</v>
      </c>
      <c r="I480" s="8">
        <v>40.78625472521082</v>
      </c>
      <c r="J480" s="6">
        <v>140263.93</v>
      </c>
      <c r="K480" s="6">
        <v>-7526.19</v>
      </c>
      <c r="L480" s="6">
        <v>-5.67</v>
      </c>
      <c r="M480" s="6">
        <f t="shared" si="1"/>
        <v>-2.188482117</v>
      </c>
      <c r="N480" s="6">
        <v>-5.67</v>
      </c>
      <c r="O480" s="7" t="s">
        <v>45</v>
      </c>
      <c r="P480" s="7" t="s">
        <v>46</v>
      </c>
      <c r="Q480" s="7" t="s">
        <v>25</v>
      </c>
      <c r="R480" s="10">
        <v>1702.17</v>
      </c>
      <c r="S480" s="10">
        <v>-9228.37</v>
      </c>
      <c r="T480" s="9" t="s">
        <v>29</v>
      </c>
      <c r="U480" s="9"/>
      <c r="V480" s="9"/>
      <c r="W480" s="9"/>
      <c r="X480" s="9"/>
      <c r="Y480" s="9"/>
      <c r="Z480" s="9"/>
      <c r="AA480" s="9"/>
      <c r="AB480" s="9"/>
    </row>
    <row r="481">
      <c r="A481" s="5">
        <v>42117.0</v>
      </c>
      <c r="B481" s="6">
        <v>2015.0</v>
      </c>
      <c r="C481" s="7" t="s">
        <v>72</v>
      </c>
      <c r="D481" s="7" t="s">
        <v>61</v>
      </c>
      <c r="E481" s="7" t="s">
        <v>35</v>
      </c>
      <c r="F481" s="6">
        <v>1434.0</v>
      </c>
      <c r="G481" s="6">
        <v>60310.34</v>
      </c>
      <c r="H481" s="6">
        <v>42.06</v>
      </c>
      <c r="I481" s="8">
        <v>40.75735704323571</v>
      </c>
      <c r="J481" s="6">
        <v>58446.05</v>
      </c>
      <c r="K481" s="6">
        <v>1864.28</v>
      </c>
      <c r="L481" s="6">
        <v>3.09</v>
      </c>
      <c r="M481" s="6">
        <f t="shared" si="1"/>
        <v>1.300055788</v>
      </c>
      <c r="N481" s="6">
        <v>3.09</v>
      </c>
      <c r="O481" s="7" t="s">
        <v>45</v>
      </c>
      <c r="P481" s="7" t="s">
        <v>46</v>
      </c>
      <c r="Q481" s="7" t="s">
        <v>25</v>
      </c>
      <c r="R481" s="10">
        <v>-7526.19</v>
      </c>
      <c r="S481" s="10">
        <v>9390.48</v>
      </c>
      <c r="T481" s="9" t="s">
        <v>33</v>
      </c>
      <c r="U481" s="9"/>
      <c r="V481" s="9"/>
      <c r="W481" s="9"/>
      <c r="X481" s="9"/>
      <c r="Y481" s="9"/>
      <c r="Z481" s="9"/>
      <c r="AA481" s="9"/>
      <c r="AB481" s="9"/>
    </row>
    <row r="482">
      <c r="A482" s="5">
        <v>42118.0</v>
      </c>
      <c r="B482" s="6">
        <v>2015.0</v>
      </c>
      <c r="C482" s="7" t="s">
        <v>72</v>
      </c>
      <c r="D482" s="7" t="s">
        <v>62</v>
      </c>
      <c r="E482" s="7" t="s">
        <v>37</v>
      </c>
      <c r="F482" s="6">
        <v>8892.0</v>
      </c>
      <c r="G482" s="6">
        <v>343587.01</v>
      </c>
      <c r="H482" s="6">
        <v>38.64</v>
      </c>
      <c r="I482" s="8">
        <v>40.754678362573095</v>
      </c>
      <c r="J482" s="6">
        <v>362390.6</v>
      </c>
      <c r="K482" s="6">
        <v>-18803.59</v>
      </c>
      <c r="L482" s="6">
        <v>-5.47</v>
      </c>
      <c r="M482" s="6">
        <f t="shared" si="1"/>
        <v>-2.114663743</v>
      </c>
      <c r="N482" s="6">
        <v>-5.47</v>
      </c>
      <c r="O482" s="7" t="s">
        <v>45</v>
      </c>
      <c r="P482" s="7" t="s">
        <v>46</v>
      </c>
      <c r="Q482" s="7" t="s">
        <v>25</v>
      </c>
      <c r="R482" s="10">
        <v>1864.28</v>
      </c>
      <c r="S482" s="10">
        <v>-20667.87</v>
      </c>
      <c r="T482" s="9" t="s">
        <v>29</v>
      </c>
      <c r="U482" s="9"/>
      <c r="V482" s="9"/>
      <c r="W482" s="9"/>
      <c r="X482" s="9"/>
      <c r="Y482" s="9"/>
      <c r="Z482" s="9"/>
      <c r="AA482" s="9"/>
      <c r="AB482" s="9"/>
    </row>
    <row r="483">
      <c r="A483" s="5">
        <v>42119.0</v>
      </c>
      <c r="B483" s="6">
        <v>2015.0</v>
      </c>
      <c r="C483" s="7" t="s">
        <v>72</v>
      </c>
      <c r="D483" s="7" t="s">
        <v>63</v>
      </c>
      <c r="E483" s="7" t="s">
        <v>39</v>
      </c>
      <c r="F483" s="6">
        <v>13144.0</v>
      </c>
      <c r="G483" s="6">
        <v>496882.32</v>
      </c>
      <c r="H483" s="6">
        <v>37.8</v>
      </c>
      <c r="I483" s="8">
        <v>40.72626369446135</v>
      </c>
      <c r="J483" s="6">
        <v>535306.01</v>
      </c>
      <c r="K483" s="6">
        <v>-38423.69</v>
      </c>
      <c r="L483" s="6">
        <v>-7.73</v>
      </c>
      <c r="M483" s="6">
        <f t="shared" si="1"/>
        <v>-2.923287432</v>
      </c>
      <c r="N483" s="6">
        <v>-7.73</v>
      </c>
      <c r="O483" s="7" t="s">
        <v>45</v>
      </c>
      <c r="P483" s="7" t="s">
        <v>46</v>
      </c>
      <c r="Q483" s="7" t="s">
        <v>25</v>
      </c>
      <c r="R483" s="10">
        <v>-18803.59</v>
      </c>
      <c r="S483" s="10">
        <v>-19620.11</v>
      </c>
      <c r="T483" s="9" t="s">
        <v>29</v>
      </c>
      <c r="U483" s="9"/>
      <c r="V483" s="9"/>
      <c r="W483" s="9"/>
      <c r="X483" s="9"/>
      <c r="Y483" s="9"/>
      <c r="Z483" s="9"/>
      <c r="AA483" s="9"/>
      <c r="AB483" s="9"/>
    </row>
    <row r="484">
      <c r="A484" s="5">
        <v>42120.0</v>
      </c>
      <c r="B484" s="6">
        <v>2015.0</v>
      </c>
      <c r="C484" s="7" t="s">
        <v>72</v>
      </c>
      <c r="D484" s="7" t="s">
        <v>64</v>
      </c>
      <c r="E484" s="7" t="s">
        <v>41</v>
      </c>
      <c r="F484" s="6">
        <v>5179.0</v>
      </c>
      <c r="G484" s="6">
        <v>200369.83</v>
      </c>
      <c r="H484" s="6">
        <v>38.69</v>
      </c>
      <c r="I484" s="8">
        <v>40.73465340799382</v>
      </c>
      <c r="J484" s="6">
        <v>210964.77</v>
      </c>
      <c r="K484" s="6">
        <v>-10594.94</v>
      </c>
      <c r="L484" s="6">
        <v>-5.29</v>
      </c>
      <c r="M484" s="6">
        <f t="shared" si="1"/>
        <v>-2.045750145</v>
      </c>
      <c r="N484" s="6">
        <v>-5.29</v>
      </c>
      <c r="O484" s="7" t="s">
        <v>45</v>
      </c>
      <c r="P484" s="7" t="s">
        <v>46</v>
      </c>
      <c r="Q484" s="7" t="s">
        <v>25</v>
      </c>
      <c r="R484" s="10">
        <v>-38423.69</v>
      </c>
      <c r="S484" s="10">
        <v>27828.76</v>
      </c>
      <c r="T484" s="9" t="s">
        <v>33</v>
      </c>
      <c r="U484" s="9"/>
      <c r="V484" s="9"/>
      <c r="W484" s="9"/>
      <c r="X484" s="9"/>
      <c r="Y484" s="9"/>
      <c r="Z484" s="9"/>
      <c r="AA484" s="9"/>
      <c r="AB484" s="9"/>
    </row>
    <row r="485">
      <c r="A485" s="5">
        <v>42121.0</v>
      </c>
      <c r="B485" s="6">
        <v>2015.0</v>
      </c>
      <c r="C485" s="7" t="s">
        <v>72</v>
      </c>
      <c r="D485" s="7" t="s">
        <v>65</v>
      </c>
      <c r="E485" s="7" t="s">
        <v>22</v>
      </c>
      <c r="F485" s="6">
        <v>5014.0</v>
      </c>
      <c r="G485" s="6">
        <v>194028.06</v>
      </c>
      <c r="H485" s="6">
        <v>38.7</v>
      </c>
      <c r="I485" s="8">
        <v>40.69674910251296</v>
      </c>
      <c r="J485" s="6">
        <v>204053.5</v>
      </c>
      <c r="K485" s="6">
        <v>-10025.44</v>
      </c>
      <c r="L485" s="6">
        <v>-5.17</v>
      </c>
      <c r="M485" s="6">
        <f t="shared" si="1"/>
        <v>-1.99948943</v>
      </c>
      <c r="N485" s="6">
        <v>-5.17</v>
      </c>
      <c r="O485" s="7" t="s">
        <v>45</v>
      </c>
      <c r="P485" s="7" t="s">
        <v>46</v>
      </c>
      <c r="Q485" s="7" t="s">
        <v>25</v>
      </c>
      <c r="R485" s="10">
        <v>-10594.94</v>
      </c>
      <c r="S485" s="10">
        <v>569.5</v>
      </c>
      <c r="T485" s="9" t="s">
        <v>33</v>
      </c>
      <c r="U485" s="9"/>
      <c r="V485" s="9"/>
      <c r="W485" s="9"/>
      <c r="X485" s="9"/>
      <c r="Y485" s="9"/>
      <c r="Z485" s="9"/>
      <c r="AA485" s="9"/>
      <c r="AB485" s="9"/>
    </row>
    <row r="486">
      <c r="A486" s="5">
        <v>42122.0</v>
      </c>
      <c r="B486" s="6">
        <v>2015.0</v>
      </c>
      <c r="C486" s="7" t="s">
        <v>72</v>
      </c>
      <c r="D486" s="7" t="s">
        <v>66</v>
      </c>
      <c r="E486" s="7" t="s">
        <v>28</v>
      </c>
      <c r="F486" s="6">
        <v>4936.0</v>
      </c>
      <c r="G486" s="6">
        <v>190560.58</v>
      </c>
      <c r="H486" s="6">
        <v>38.61</v>
      </c>
      <c r="I486" s="8">
        <v>40.68153160453809</v>
      </c>
      <c r="J486" s="6">
        <v>200804.04</v>
      </c>
      <c r="K486" s="6">
        <v>-10243.46</v>
      </c>
      <c r="L486" s="6">
        <v>-5.38</v>
      </c>
      <c r="M486" s="6">
        <f t="shared" si="1"/>
        <v>-2.075255267</v>
      </c>
      <c r="N486" s="6">
        <v>-5.38</v>
      </c>
      <c r="O486" s="7" t="s">
        <v>45</v>
      </c>
      <c r="P486" s="7" t="s">
        <v>46</v>
      </c>
      <c r="Q486" s="7" t="s">
        <v>25</v>
      </c>
      <c r="R486" s="10">
        <v>-10025.44</v>
      </c>
      <c r="S486" s="10">
        <v>-218.02</v>
      </c>
      <c r="T486" s="9" t="s">
        <v>29</v>
      </c>
      <c r="U486" s="9"/>
      <c r="V486" s="9"/>
      <c r="W486" s="9"/>
      <c r="X486" s="9"/>
      <c r="Y486" s="9"/>
      <c r="Z486" s="9"/>
      <c r="AA486" s="9"/>
      <c r="AB486" s="9"/>
    </row>
    <row r="487">
      <c r="A487" s="5">
        <v>42123.0</v>
      </c>
      <c r="B487" s="6">
        <v>2015.0</v>
      </c>
      <c r="C487" s="7" t="s">
        <v>72</v>
      </c>
      <c r="D487" s="7" t="s">
        <v>67</v>
      </c>
      <c r="E487" s="7" t="s">
        <v>32</v>
      </c>
      <c r="F487" s="6">
        <v>5150.0</v>
      </c>
      <c r="G487" s="6">
        <v>198985.4</v>
      </c>
      <c r="H487" s="6">
        <v>38.64</v>
      </c>
      <c r="I487" s="8">
        <v>40.67648155339806</v>
      </c>
      <c r="J487" s="6">
        <v>209483.88</v>
      </c>
      <c r="K487" s="6">
        <v>-10498.48</v>
      </c>
      <c r="L487" s="6">
        <v>-5.28</v>
      </c>
      <c r="M487" s="6">
        <f t="shared" si="1"/>
        <v>-2.038539806</v>
      </c>
      <c r="N487" s="6">
        <v>-5.28</v>
      </c>
      <c r="O487" s="7" t="s">
        <v>45</v>
      </c>
      <c r="P487" s="7" t="s">
        <v>46</v>
      </c>
      <c r="Q487" s="7" t="s">
        <v>25</v>
      </c>
      <c r="R487" s="10">
        <v>-10243.46</v>
      </c>
      <c r="S487" s="10">
        <v>-255.02</v>
      </c>
      <c r="T487" s="9" t="s">
        <v>29</v>
      </c>
      <c r="U487" s="9"/>
      <c r="V487" s="9"/>
      <c r="W487" s="9"/>
      <c r="X487" s="9"/>
      <c r="Y487" s="9"/>
      <c r="Z487" s="9"/>
      <c r="AA487" s="9"/>
      <c r="AB487" s="9"/>
    </row>
    <row r="488">
      <c r="A488" s="5">
        <v>42124.0</v>
      </c>
      <c r="B488" s="6">
        <v>2015.0</v>
      </c>
      <c r="C488" s="7" t="s">
        <v>72</v>
      </c>
      <c r="D488" s="7" t="s">
        <v>21</v>
      </c>
      <c r="E488" s="7" t="s">
        <v>35</v>
      </c>
      <c r="F488" s="6">
        <v>9986.0</v>
      </c>
      <c r="G488" s="6">
        <v>385482.87</v>
      </c>
      <c r="H488" s="6">
        <v>38.6</v>
      </c>
      <c r="I488" s="8">
        <v>40.6821560184258</v>
      </c>
      <c r="J488" s="6">
        <v>406252.01</v>
      </c>
      <c r="K488" s="6">
        <v>-20769.14</v>
      </c>
      <c r="L488" s="6">
        <v>-5.39</v>
      </c>
      <c r="M488" s="6">
        <f t="shared" si="1"/>
        <v>-2.079825756</v>
      </c>
      <c r="N488" s="6">
        <v>-5.39</v>
      </c>
      <c r="O488" s="7" t="s">
        <v>45</v>
      </c>
      <c r="P488" s="7" t="s">
        <v>46</v>
      </c>
      <c r="Q488" s="7" t="s">
        <v>25</v>
      </c>
      <c r="R488" s="10">
        <v>-10498.48</v>
      </c>
      <c r="S488" s="10">
        <v>-10270.66</v>
      </c>
      <c r="T488" s="9" t="s">
        <v>29</v>
      </c>
      <c r="U488" s="9"/>
      <c r="V488" s="9"/>
      <c r="W488" s="9"/>
      <c r="X488" s="9"/>
      <c r="Y488" s="9"/>
      <c r="Z488" s="9"/>
      <c r="AA488" s="9"/>
      <c r="AB488" s="9"/>
    </row>
    <row r="489">
      <c r="A489" s="5">
        <v>42125.0</v>
      </c>
      <c r="B489" s="6">
        <v>2015.0</v>
      </c>
      <c r="C489" s="7" t="s">
        <v>74</v>
      </c>
      <c r="D489" s="7" t="s">
        <v>31</v>
      </c>
      <c r="E489" s="7" t="s">
        <v>37</v>
      </c>
      <c r="F489" s="6">
        <v>12937.0</v>
      </c>
      <c r="G489" s="6">
        <v>499703.41</v>
      </c>
      <c r="H489" s="6">
        <v>38.63</v>
      </c>
      <c r="I489" s="8">
        <v>40.67457215737806</v>
      </c>
      <c r="J489" s="6">
        <v>526206.94</v>
      </c>
      <c r="K489" s="6">
        <v>-26503.52</v>
      </c>
      <c r="L489" s="6">
        <v>-5.3</v>
      </c>
      <c r="M489" s="6">
        <f t="shared" si="1"/>
        <v>-2.048660431</v>
      </c>
      <c r="N489" s="6">
        <v>-5.3</v>
      </c>
      <c r="O489" s="7" t="s">
        <v>45</v>
      </c>
      <c r="P489" s="7" t="s">
        <v>46</v>
      </c>
      <c r="Q489" s="7" t="s">
        <v>25</v>
      </c>
      <c r="R489" s="10">
        <v>-20769.14</v>
      </c>
      <c r="S489" s="10">
        <v>-5734.39</v>
      </c>
      <c r="T489" s="9" t="s">
        <v>29</v>
      </c>
      <c r="U489" s="9"/>
      <c r="V489" s="9"/>
      <c r="W489" s="9"/>
      <c r="X489" s="9"/>
      <c r="Y489" s="9"/>
      <c r="Z489" s="9"/>
      <c r="AA489" s="9"/>
      <c r="AB489" s="9"/>
    </row>
    <row r="490">
      <c r="A490" s="5">
        <v>42126.0</v>
      </c>
      <c r="B490" s="6">
        <v>2015.0</v>
      </c>
      <c r="C490" s="7" t="s">
        <v>74</v>
      </c>
      <c r="D490" s="7" t="s">
        <v>34</v>
      </c>
      <c r="E490" s="7" t="s">
        <v>39</v>
      </c>
      <c r="F490" s="6">
        <v>12217.0</v>
      </c>
      <c r="G490" s="6">
        <v>461667.0</v>
      </c>
      <c r="H490" s="6">
        <v>37.79</v>
      </c>
      <c r="I490" s="8">
        <v>40.66896946877302</v>
      </c>
      <c r="J490" s="6">
        <v>496852.8</v>
      </c>
      <c r="K490" s="6">
        <v>-35185.8</v>
      </c>
      <c r="L490" s="6">
        <v>-7.62</v>
      </c>
      <c r="M490" s="6">
        <f t="shared" si="1"/>
        <v>-2.880068757</v>
      </c>
      <c r="N490" s="6">
        <v>-7.62</v>
      </c>
      <c r="O490" s="7" t="s">
        <v>45</v>
      </c>
      <c r="P490" s="7" t="s">
        <v>46</v>
      </c>
      <c r="Q490" s="7" t="s">
        <v>25</v>
      </c>
      <c r="R490" s="10">
        <v>-26503.52</v>
      </c>
      <c r="S490" s="10">
        <v>-8682.28</v>
      </c>
      <c r="T490" s="9" t="s">
        <v>29</v>
      </c>
      <c r="U490" s="9"/>
      <c r="V490" s="9"/>
      <c r="W490" s="9"/>
      <c r="X490" s="9"/>
      <c r="Y490" s="9"/>
      <c r="Z490" s="9"/>
      <c r="AA490" s="9"/>
      <c r="AB490" s="9"/>
    </row>
    <row r="491">
      <c r="A491" s="5">
        <v>42127.0</v>
      </c>
      <c r="B491" s="6">
        <v>2015.0</v>
      </c>
      <c r="C491" s="7" t="s">
        <v>74</v>
      </c>
      <c r="D491" s="7" t="s">
        <v>36</v>
      </c>
      <c r="E491" s="7" t="s">
        <v>41</v>
      </c>
      <c r="F491" s="6">
        <v>6721.0</v>
      </c>
      <c r="G491" s="6">
        <v>259541.61</v>
      </c>
      <c r="H491" s="6">
        <v>38.62</v>
      </c>
      <c r="I491" s="8">
        <v>40.660623419134055</v>
      </c>
      <c r="J491" s="6">
        <v>273280.05</v>
      </c>
      <c r="K491" s="6">
        <v>-13738.44</v>
      </c>
      <c r="L491" s="6">
        <v>-5.29</v>
      </c>
      <c r="M491" s="6">
        <f t="shared" si="1"/>
        <v>-2.044106532</v>
      </c>
      <c r="N491" s="6">
        <v>-5.29</v>
      </c>
      <c r="O491" s="7" t="s">
        <v>45</v>
      </c>
      <c r="P491" s="7" t="s">
        <v>46</v>
      </c>
      <c r="Q491" s="7" t="s">
        <v>25</v>
      </c>
      <c r="R491" s="10">
        <v>-35185.8</v>
      </c>
      <c r="S491" s="10">
        <v>21447.36</v>
      </c>
      <c r="T491" s="9" t="s">
        <v>33</v>
      </c>
      <c r="U491" s="9"/>
      <c r="V491" s="9"/>
      <c r="W491" s="9"/>
      <c r="X491" s="9"/>
      <c r="Y491" s="9"/>
      <c r="Z491" s="9"/>
      <c r="AA491" s="9"/>
      <c r="AB491" s="9"/>
    </row>
    <row r="492">
      <c r="A492" s="5">
        <v>42128.0</v>
      </c>
      <c r="B492" s="6">
        <v>2015.0</v>
      </c>
      <c r="C492" s="7" t="s">
        <v>74</v>
      </c>
      <c r="D492" s="7" t="s">
        <v>38</v>
      </c>
      <c r="E492" s="7" t="s">
        <v>22</v>
      </c>
      <c r="F492" s="6">
        <v>8283.0</v>
      </c>
      <c r="G492" s="6">
        <v>320309.27</v>
      </c>
      <c r="H492" s="6">
        <v>38.67</v>
      </c>
      <c r="I492" s="8">
        <v>40.654666183749846</v>
      </c>
      <c r="J492" s="6">
        <v>336742.6</v>
      </c>
      <c r="K492" s="6">
        <v>-16433.33</v>
      </c>
      <c r="L492" s="6">
        <v>-5.13</v>
      </c>
      <c r="M492" s="6">
        <f t="shared" si="1"/>
        <v>-1.983982856</v>
      </c>
      <c r="N492" s="6">
        <v>-5.13</v>
      </c>
      <c r="O492" s="7" t="s">
        <v>45</v>
      </c>
      <c r="P492" s="7" t="s">
        <v>46</v>
      </c>
      <c r="Q492" s="7" t="s">
        <v>25</v>
      </c>
      <c r="R492" s="10">
        <v>-13738.44</v>
      </c>
      <c r="S492" s="10">
        <v>-2694.89</v>
      </c>
      <c r="T492" s="9" t="s">
        <v>29</v>
      </c>
      <c r="U492" s="9"/>
      <c r="V492" s="9"/>
      <c r="W492" s="9"/>
      <c r="X492" s="9"/>
      <c r="Y492" s="9"/>
      <c r="Z492" s="9"/>
      <c r="AA492" s="9"/>
      <c r="AB492" s="9"/>
    </row>
    <row r="493">
      <c r="A493" s="5">
        <v>42129.0</v>
      </c>
      <c r="B493" s="6">
        <v>2015.0</v>
      </c>
      <c r="C493" s="7" t="s">
        <v>74</v>
      </c>
      <c r="D493" s="7" t="s">
        <v>40</v>
      </c>
      <c r="E493" s="7" t="s">
        <v>28</v>
      </c>
      <c r="F493" s="6">
        <v>6191.0</v>
      </c>
      <c r="G493" s="6">
        <v>239923.0</v>
      </c>
      <c r="H493" s="6">
        <v>38.75</v>
      </c>
      <c r="I493" s="8">
        <v>40.65594734291714</v>
      </c>
      <c r="J493" s="6">
        <v>251700.97</v>
      </c>
      <c r="K493" s="6">
        <v>-11777.97</v>
      </c>
      <c r="L493" s="6">
        <v>-4.91</v>
      </c>
      <c r="M493" s="6">
        <f t="shared" si="1"/>
        <v>-1.902434179</v>
      </c>
      <c r="N493" s="6">
        <v>-4.91</v>
      </c>
      <c r="O493" s="7" t="s">
        <v>45</v>
      </c>
      <c r="P493" s="7" t="s">
        <v>46</v>
      </c>
      <c r="Q493" s="7" t="s">
        <v>25</v>
      </c>
      <c r="R493" s="10">
        <v>-16433.33</v>
      </c>
      <c r="S493" s="10">
        <v>4655.36</v>
      </c>
      <c r="T493" s="9" t="s">
        <v>33</v>
      </c>
      <c r="U493" s="9"/>
      <c r="V493" s="9"/>
      <c r="W493" s="9"/>
      <c r="X493" s="9"/>
      <c r="Y493" s="9"/>
      <c r="Z493" s="9"/>
      <c r="AA493" s="9"/>
      <c r="AB493" s="9"/>
    </row>
    <row r="494">
      <c r="A494" s="5">
        <v>42130.0</v>
      </c>
      <c r="B494" s="6">
        <v>2015.0</v>
      </c>
      <c r="C494" s="7" t="s">
        <v>74</v>
      </c>
      <c r="D494" s="7" t="s">
        <v>42</v>
      </c>
      <c r="E494" s="7" t="s">
        <v>32</v>
      </c>
      <c r="F494" s="6">
        <v>5959.0</v>
      </c>
      <c r="G494" s="6">
        <v>224994.2</v>
      </c>
      <c r="H494" s="6">
        <v>37.76</v>
      </c>
      <c r="I494" s="8">
        <v>40.65444873300889</v>
      </c>
      <c r="J494" s="6">
        <v>242259.86</v>
      </c>
      <c r="K494" s="6">
        <v>-17265.66</v>
      </c>
      <c r="L494" s="6">
        <v>-7.67</v>
      </c>
      <c r="M494" s="6">
        <f t="shared" si="1"/>
        <v>-2.897408961</v>
      </c>
      <c r="N494" s="6">
        <v>-7.67</v>
      </c>
      <c r="O494" s="7" t="s">
        <v>45</v>
      </c>
      <c r="P494" s="7" t="s">
        <v>46</v>
      </c>
      <c r="Q494" s="7" t="s">
        <v>25</v>
      </c>
      <c r="R494" s="10">
        <v>-11777.97</v>
      </c>
      <c r="S494" s="10">
        <v>-5487.7</v>
      </c>
      <c r="T494" s="9" t="s">
        <v>29</v>
      </c>
      <c r="U494" s="9"/>
      <c r="V494" s="9"/>
      <c r="W494" s="9"/>
      <c r="X494" s="9"/>
      <c r="Y494" s="9"/>
      <c r="Z494" s="9"/>
      <c r="AA494" s="9"/>
      <c r="AB494" s="9"/>
    </row>
    <row r="495">
      <c r="A495" s="5">
        <v>42131.0</v>
      </c>
      <c r="B495" s="6">
        <v>2015.0</v>
      </c>
      <c r="C495" s="7" t="s">
        <v>74</v>
      </c>
      <c r="D495" s="7" t="s">
        <v>43</v>
      </c>
      <c r="E495" s="7" t="s">
        <v>35</v>
      </c>
      <c r="F495" s="6">
        <v>2848.0</v>
      </c>
      <c r="G495" s="6">
        <v>117197.97</v>
      </c>
      <c r="H495" s="6">
        <v>41.15</v>
      </c>
      <c r="I495" s="8">
        <v>40.64925912921348</v>
      </c>
      <c r="J495" s="6">
        <v>115769.09</v>
      </c>
      <c r="K495" s="6">
        <v>1428.89</v>
      </c>
      <c r="L495" s="6">
        <v>1.22</v>
      </c>
      <c r="M495" s="6">
        <f t="shared" si="1"/>
        <v>0.5017169944</v>
      </c>
      <c r="N495" s="6">
        <v>1.22</v>
      </c>
      <c r="O495" s="7" t="s">
        <v>45</v>
      </c>
      <c r="P495" s="7" t="s">
        <v>46</v>
      </c>
      <c r="Q495" s="7" t="s">
        <v>25</v>
      </c>
      <c r="R495" s="10">
        <v>-17265.66</v>
      </c>
      <c r="S495" s="10">
        <v>18694.55</v>
      </c>
      <c r="T495" s="9" t="s">
        <v>33</v>
      </c>
      <c r="U495" s="9"/>
      <c r="V495" s="9"/>
      <c r="W495" s="9"/>
      <c r="X495" s="9"/>
      <c r="Y495" s="9"/>
      <c r="Z495" s="9"/>
      <c r="AA495" s="9"/>
      <c r="AB495" s="9"/>
    </row>
    <row r="496">
      <c r="A496" s="5">
        <v>42132.0</v>
      </c>
      <c r="B496" s="6">
        <v>2015.0</v>
      </c>
      <c r="C496" s="7" t="s">
        <v>74</v>
      </c>
      <c r="D496" s="7" t="s">
        <v>44</v>
      </c>
      <c r="E496" s="7" t="s">
        <v>37</v>
      </c>
      <c r="F496" s="6">
        <v>8748.0</v>
      </c>
      <c r="G496" s="6">
        <v>330589.2</v>
      </c>
      <c r="H496" s="6">
        <v>37.79</v>
      </c>
      <c r="I496" s="8">
        <v>40.64529492455418</v>
      </c>
      <c r="J496" s="6">
        <v>355565.04</v>
      </c>
      <c r="K496" s="6">
        <v>-24975.84</v>
      </c>
      <c r="L496" s="6">
        <v>-7.55</v>
      </c>
      <c r="M496" s="6">
        <f t="shared" si="1"/>
        <v>-2.855034294</v>
      </c>
      <c r="N496" s="6">
        <v>-7.55</v>
      </c>
      <c r="O496" s="7" t="s">
        <v>45</v>
      </c>
      <c r="P496" s="7" t="s">
        <v>46</v>
      </c>
      <c r="Q496" s="7" t="s">
        <v>25</v>
      </c>
      <c r="R496" s="10">
        <v>1428.89</v>
      </c>
      <c r="S496" s="10">
        <v>-26404.73</v>
      </c>
      <c r="T496" s="9" t="s">
        <v>29</v>
      </c>
      <c r="U496" s="9"/>
      <c r="V496" s="9"/>
      <c r="W496" s="9"/>
      <c r="X496" s="9"/>
      <c r="Y496" s="9"/>
      <c r="Z496" s="9"/>
      <c r="AA496" s="9"/>
      <c r="AB496" s="9"/>
    </row>
    <row r="497">
      <c r="A497" s="5">
        <v>42133.0</v>
      </c>
      <c r="B497" s="6">
        <v>2015.0</v>
      </c>
      <c r="C497" s="7" t="s">
        <v>74</v>
      </c>
      <c r="D497" s="7" t="s">
        <v>47</v>
      </c>
      <c r="E497" s="7" t="s">
        <v>39</v>
      </c>
      <c r="F497" s="6">
        <v>10329.0</v>
      </c>
      <c r="G497" s="6">
        <v>389972.12</v>
      </c>
      <c r="H497" s="6">
        <v>37.76</v>
      </c>
      <c r="I497" s="8">
        <v>40.64547778100494</v>
      </c>
      <c r="J497" s="6">
        <v>419827.14</v>
      </c>
      <c r="K497" s="6">
        <v>-29855.02</v>
      </c>
      <c r="L497" s="6">
        <v>-7.66</v>
      </c>
      <c r="M497" s="6">
        <f t="shared" si="1"/>
        <v>-2.89040759</v>
      </c>
      <c r="N497" s="6">
        <v>-7.66</v>
      </c>
      <c r="O497" s="7" t="s">
        <v>45</v>
      </c>
      <c r="P497" s="7" t="s">
        <v>46</v>
      </c>
      <c r="Q497" s="7" t="s">
        <v>25</v>
      </c>
      <c r="R497" s="10">
        <v>-24975.84</v>
      </c>
      <c r="S497" s="10">
        <v>-4879.17</v>
      </c>
      <c r="T497" s="9" t="s">
        <v>29</v>
      </c>
      <c r="U497" s="9"/>
      <c r="V497" s="9"/>
      <c r="W497" s="9"/>
      <c r="X497" s="9"/>
      <c r="Y497" s="9"/>
      <c r="Z497" s="9"/>
      <c r="AA497" s="9"/>
      <c r="AB497" s="9"/>
    </row>
    <row r="498">
      <c r="A498" s="5">
        <v>42134.0</v>
      </c>
      <c r="B498" s="6">
        <v>2015.0</v>
      </c>
      <c r="C498" s="7" t="s">
        <v>74</v>
      </c>
      <c r="D498" s="7" t="s">
        <v>48</v>
      </c>
      <c r="E498" s="7" t="s">
        <v>41</v>
      </c>
      <c r="F498" s="6">
        <v>4410.0</v>
      </c>
      <c r="G498" s="6">
        <v>166536.0</v>
      </c>
      <c r="H498" s="6">
        <v>37.76</v>
      </c>
      <c r="I498" s="8">
        <v>40.644682539682535</v>
      </c>
      <c r="J498" s="6">
        <v>179243.05</v>
      </c>
      <c r="K498" s="6">
        <v>-12707.05</v>
      </c>
      <c r="L498" s="6">
        <v>-7.63</v>
      </c>
      <c r="M498" s="6">
        <f t="shared" si="1"/>
        <v>-2.881417234</v>
      </c>
      <c r="N498" s="6">
        <v>-7.63</v>
      </c>
      <c r="O498" s="7" t="s">
        <v>45</v>
      </c>
      <c r="P498" s="7" t="s">
        <v>46</v>
      </c>
      <c r="Q498" s="7" t="s">
        <v>25</v>
      </c>
      <c r="R498" s="10">
        <v>-29855.02</v>
      </c>
      <c r="S498" s="10">
        <v>17147.97</v>
      </c>
      <c r="T498" s="9" t="s">
        <v>33</v>
      </c>
      <c r="U498" s="9"/>
      <c r="V498" s="9"/>
      <c r="W498" s="9"/>
      <c r="X498" s="9"/>
      <c r="Y498" s="9"/>
      <c r="Z498" s="9"/>
      <c r="AA498" s="9"/>
      <c r="AB498" s="9"/>
    </row>
    <row r="499">
      <c r="A499" s="5">
        <v>42135.0</v>
      </c>
      <c r="B499" s="6">
        <v>2015.0</v>
      </c>
      <c r="C499" s="7" t="s">
        <v>74</v>
      </c>
      <c r="D499" s="7" t="s">
        <v>49</v>
      </c>
      <c r="E499" s="7" t="s">
        <v>22</v>
      </c>
      <c r="F499" s="6">
        <v>5257.0</v>
      </c>
      <c r="G499" s="6">
        <v>198442.91</v>
      </c>
      <c r="H499" s="6">
        <v>37.75</v>
      </c>
      <c r="I499" s="8">
        <v>40.64607761080464</v>
      </c>
      <c r="J499" s="6">
        <v>213676.43</v>
      </c>
      <c r="K499" s="6">
        <v>-15233.52</v>
      </c>
      <c r="L499" s="6">
        <v>-7.68</v>
      </c>
      <c r="M499" s="6">
        <f t="shared" si="1"/>
        <v>-2.897759178</v>
      </c>
      <c r="N499" s="6">
        <v>-7.68</v>
      </c>
      <c r="O499" s="7" t="s">
        <v>45</v>
      </c>
      <c r="P499" s="7" t="s">
        <v>46</v>
      </c>
      <c r="Q499" s="7" t="s">
        <v>25</v>
      </c>
      <c r="R499" s="10">
        <v>-12707.05</v>
      </c>
      <c r="S499" s="10">
        <v>-2526.46</v>
      </c>
      <c r="T499" s="9" t="s">
        <v>29</v>
      </c>
      <c r="U499" s="9"/>
      <c r="V499" s="9"/>
      <c r="W499" s="9"/>
      <c r="X499" s="9"/>
      <c r="Y499" s="9"/>
      <c r="Z499" s="9"/>
      <c r="AA499" s="9"/>
      <c r="AB499" s="9"/>
    </row>
    <row r="500">
      <c r="A500" s="5">
        <v>42136.0</v>
      </c>
      <c r="B500" s="6">
        <v>2015.0</v>
      </c>
      <c r="C500" s="7" t="s">
        <v>74</v>
      </c>
      <c r="D500" s="7" t="s">
        <v>50</v>
      </c>
      <c r="E500" s="7" t="s">
        <v>28</v>
      </c>
      <c r="F500" s="6">
        <v>5118.0</v>
      </c>
      <c r="G500" s="6">
        <v>193182.15</v>
      </c>
      <c r="H500" s="6">
        <v>37.75</v>
      </c>
      <c r="I500" s="8">
        <v>40.648528722157096</v>
      </c>
      <c r="J500" s="6">
        <v>208039.17</v>
      </c>
      <c r="K500" s="6">
        <v>-14857.02</v>
      </c>
      <c r="L500" s="6">
        <v>-7.69</v>
      </c>
      <c r="M500" s="6">
        <f t="shared" si="1"/>
        <v>-2.902895662</v>
      </c>
      <c r="N500" s="6">
        <v>-7.69</v>
      </c>
      <c r="O500" s="7" t="s">
        <v>45</v>
      </c>
      <c r="P500" s="7" t="s">
        <v>46</v>
      </c>
      <c r="Q500" s="7" t="s">
        <v>25</v>
      </c>
      <c r="R500" s="10">
        <v>-15233.52</v>
      </c>
      <c r="S500" s="10">
        <v>376.49</v>
      </c>
      <c r="T500" s="9" t="s">
        <v>33</v>
      </c>
      <c r="U500" s="9"/>
      <c r="V500" s="9"/>
      <c r="W500" s="9"/>
      <c r="X500" s="9"/>
      <c r="Y500" s="9"/>
      <c r="Z500" s="9"/>
      <c r="AA500" s="9"/>
      <c r="AB500" s="9"/>
    </row>
    <row r="501">
      <c r="A501" s="5">
        <v>42137.0</v>
      </c>
      <c r="B501" s="6">
        <v>2015.0</v>
      </c>
      <c r="C501" s="7" t="s">
        <v>74</v>
      </c>
      <c r="D501" s="7" t="s">
        <v>51</v>
      </c>
      <c r="E501" s="7" t="s">
        <v>32</v>
      </c>
      <c r="F501" s="6">
        <v>4410.0</v>
      </c>
      <c r="G501" s="6">
        <v>166403.13</v>
      </c>
      <c r="H501" s="6">
        <v>37.73</v>
      </c>
      <c r="I501" s="8">
        <v>40.639811791383224</v>
      </c>
      <c r="J501" s="6">
        <v>179221.57</v>
      </c>
      <c r="K501" s="6">
        <v>-12818.45</v>
      </c>
      <c r="L501" s="6">
        <v>-7.7</v>
      </c>
      <c r="M501" s="6">
        <f t="shared" si="1"/>
        <v>-2.906678005</v>
      </c>
      <c r="N501" s="6">
        <v>-7.7</v>
      </c>
      <c r="O501" s="7" t="s">
        <v>45</v>
      </c>
      <c r="P501" s="7" t="s">
        <v>46</v>
      </c>
      <c r="Q501" s="7" t="s">
        <v>25</v>
      </c>
      <c r="R501" s="10">
        <v>-14857.02</v>
      </c>
      <c r="S501" s="10">
        <v>2038.58</v>
      </c>
      <c r="T501" s="9" t="s">
        <v>33</v>
      </c>
      <c r="U501" s="9"/>
      <c r="V501" s="9"/>
      <c r="W501" s="9"/>
      <c r="X501" s="9"/>
      <c r="Y501" s="9"/>
      <c r="Z501" s="9"/>
      <c r="AA501" s="9"/>
      <c r="AB501" s="9"/>
    </row>
    <row r="502">
      <c r="A502" s="5">
        <v>42138.0</v>
      </c>
      <c r="B502" s="6">
        <v>2015.0</v>
      </c>
      <c r="C502" s="7" t="s">
        <v>74</v>
      </c>
      <c r="D502" s="7" t="s">
        <v>52</v>
      </c>
      <c r="E502" s="7" t="s">
        <v>35</v>
      </c>
      <c r="F502" s="6">
        <v>3952.0</v>
      </c>
      <c r="G502" s="6">
        <v>149178.6</v>
      </c>
      <c r="H502" s="6">
        <v>37.75</v>
      </c>
      <c r="I502" s="8">
        <v>40.642765688259104</v>
      </c>
      <c r="J502" s="6">
        <v>160620.21</v>
      </c>
      <c r="K502" s="6">
        <v>-11441.61</v>
      </c>
      <c r="L502" s="6">
        <v>-7.67</v>
      </c>
      <c r="M502" s="6">
        <f t="shared" si="1"/>
        <v>-2.895144231</v>
      </c>
      <c r="N502" s="6">
        <v>-7.67</v>
      </c>
      <c r="O502" s="7" t="s">
        <v>45</v>
      </c>
      <c r="P502" s="7" t="s">
        <v>46</v>
      </c>
      <c r="Q502" s="7" t="s">
        <v>25</v>
      </c>
      <c r="R502" s="10">
        <v>-12818.45</v>
      </c>
      <c r="S502" s="10">
        <v>1376.84</v>
      </c>
      <c r="T502" s="9" t="s">
        <v>33</v>
      </c>
      <c r="U502" s="9"/>
      <c r="V502" s="9"/>
      <c r="W502" s="9"/>
      <c r="X502" s="9"/>
      <c r="Y502" s="9"/>
      <c r="Z502" s="9"/>
      <c r="AA502" s="9"/>
      <c r="AB502" s="9"/>
    </row>
    <row r="503">
      <c r="A503" s="5">
        <v>42139.0</v>
      </c>
      <c r="B503" s="6">
        <v>2015.0</v>
      </c>
      <c r="C503" s="7" t="s">
        <v>74</v>
      </c>
      <c r="D503" s="7" t="s">
        <v>53</v>
      </c>
      <c r="E503" s="7" t="s">
        <v>37</v>
      </c>
      <c r="F503" s="6">
        <v>10084.0</v>
      </c>
      <c r="G503" s="6">
        <v>380592.58</v>
      </c>
      <c r="H503" s="6">
        <v>37.74</v>
      </c>
      <c r="I503" s="8">
        <v>40.63986810789369</v>
      </c>
      <c r="J503" s="6">
        <v>409812.43</v>
      </c>
      <c r="K503" s="6">
        <v>-29219.86</v>
      </c>
      <c r="L503" s="6">
        <v>-7.68</v>
      </c>
      <c r="M503" s="6">
        <f t="shared" si="1"/>
        <v>-2.897645775</v>
      </c>
      <c r="N503" s="6">
        <v>-7.68</v>
      </c>
      <c r="O503" s="7" t="s">
        <v>45</v>
      </c>
      <c r="P503" s="7" t="s">
        <v>46</v>
      </c>
      <c r="Q503" s="7" t="s">
        <v>25</v>
      </c>
      <c r="R503" s="10">
        <v>-11441.61</v>
      </c>
      <c r="S503" s="10">
        <v>-17778.25</v>
      </c>
      <c r="T503" s="9" t="s">
        <v>29</v>
      </c>
      <c r="U503" s="9"/>
      <c r="V503" s="9"/>
      <c r="W503" s="9"/>
      <c r="X503" s="9"/>
      <c r="Y503" s="9"/>
      <c r="Z503" s="9"/>
      <c r="AA503" s="9"/>
      <c r="AB503" s="9"/>
    </row>
    <row r="504">
      <c r="A504" s="5">
        <v>42140.0</v>
      </c>
      <c r="B504" s="6">
        <v>2015.0</v>
      </c>
      <c r="C504" s="7" t="s">
        <v>74</v>
      </c>
      <c r="D504" s="7" t="s">
        <v>54</v>
      </c>
      <c r="E504" s="7" t="s">
        <v>39</v>
      </c>
      <c r="F504" s="6">
        <v>10964.0</v>
      </c>
      <c r="G504" s="6">
        <v>413700.18</v>
      </c>
      <c r="H504" s="6">
        <v>37.73</v>
      </c>
      <c r="I504" s="8">
        <v>40.639339657059466</v>
      </c>
      <c r="J504" s="6">
        <v>445569.72</v>
      </c>
      <c r="K504" s="6">
        <v>-31869.54</v>
      </c>
      <c r="L504" s="6">
        <v>-7.7</v>
      </c>
      <c r="M504" s="6">
        <f t="shared" si="1"/>
        <v>-2.906743889</v>
      </c>
      <c r="N504" s="6">
        <v>-7.7</v>
      </c>
      <c r="O504" s="7" t="s">
        <v>45</v>
      </c>
      <c r="P504" s="7" t="s">
        <v>46</v>
      </c>
      <c r="Q504" s="7" t="s">
        <v>25</v>
      </c>
      <c r="R504" s="10">
        <v>-29219.86</v>
      </c>
      <c r="S504" s="10">
        <v>-2649.69</v>
      </c>
      <c r="T504" s="9" t="s">
        <v>29</v>
      </c>
      <c r="U504" s="9"/>
      <c r="V504" s="9"/>
      <c r="W504" s="9"/>
      <c r="X504" s="9"/>
      <c r="Y504" s="9"/>
      <c r="Z504" s="9"/>
      <c r="AA504" s="9"/>
      <c r="AB504" s="9"/>
    </row>
    <row r="505">
      <c r="A505" s="5">
        <v>42141.0</v>
      </c>
      <c r="B505" s="6">
        <v>2015.0</v>
      </c>
      <c r="C505" s="7" t="s">
        <v>74</v>
      </c>
      <c r="D505" s="7" t="s">
        <v>55</v>
      </c>
      <c r="E505" s="7" t="s">
        <v>41</v>
      </c>
      <c r="F505" s="6">
        <v>4695.0</v>
      </c>
      <c r="G505" s="6">
        <v>177159.67</v>
      </c>
      <c r="H505" s="6">
        <v>37.73</v>
      </c>
      <c r="I505" s="8">
        <v>40.64144408945687</v>
      </c>
      <c r="J505" s="6">
        <v>190811.58</v>
      </c>
      <c r="K505" s="6">
        <v>-13651.9</v>
      </c>
      <c r="L505" s="6">
        <v>-7.71</v>
      </c>
      <c r="M505" s="6">
        <f t="shared" si="1"/>
        <v>-2.907752929</v>
      </c>
      <c r="N505" s="6">
        <v>-7.71</v>
      </c>
      <c r="O505" s="7" t="s">
        <v>45</v>
      </c>
      <c r="P505" s="7" t="s">
        <v>46</v>
      </c>
      <c r="Q505" s="7" t="s">
        <v>25</v>
      </c>
      <c r="R505" s="10">
        <v>-31869.54</v>
      </c>
      <c r="S505" s="10">
        <v>18217.64</v>
      </c>
      <c r="T505" s="9" t="s">
        <v>33</v>
      </c>
      <c r="U505" s="9"/>
      <c r="V505" s="9"/>
      <c r="W505" s="9"/>
      <c r="X505" s="9"/>
      <c r="Y505" s="9"/>
      <c r="Z505" s="9"/>
      <c r="AA505" s="9"/>
      <c r="AB505" s="9"/>
    </row>
    <row r="506">
      <c r="A506" s="5">
        <v>42142.0</v>
      </c>
      <c r="B506" s="6">
        <v>2015.0</v>
      </c>
      <c r="C506" s="7" t="s">
        <v>74</v>
      </c>
      <c r="D506" s="7" t="s">
        <v>56</v>
      </c>
      <c r="E506" s="7" t="s">
        <v>22</v>
      </c>
      <c r="F506" s="6">
        <v>5205.0</v>
      </c>
      <c r="G506" s="6">
        <v>196420.76</v>
      </c>
      <c r="H506" s="6">
        <v>37.74</v>
      </c>
      <c r="I506" s="8">
        <v>40.636078770413064</v>
      </c>
      <c r="J506" s="6">
        <v>211510.79</v>
      </c>
      <c r="K506" s="6">
        <v>-15090.02</v>
      </c>
      <c r="L506" s="6">
        <v>-7.68</v>
      </c>
      <c r="M506" s="6">
        <f t="shared" si="1"/>
        <v>-2.899139289</v>
      </c>
      <c r="N506" s="6">
        <v>-7.68</v>
      </c>
      <c r="O506" s="7" t="s">
        <v>45</v>
      </c>
      <c r="P506" s="7" t="s">
        <v>46</v>
      </c>
      <c r="Q506" s="7" t="s">
        <v>25</v>
      </c>
      <c r="R506" s="10">
        <v>-13651.9</v>
      </c>
      <c r="S506" s="10">
        <v>-1438.12</v>
      </c>
      <c r="T506" s="9" t="s">
        <v>29</v>
      </c>
      <c r="U506" s="9"/>
      <c r="V506" s="9"/>
      <c r="W506" s="9"/>
      <c r="X506" s="9"/>
      <c r="Y506" s="9"/>
      <c r="Z506" s="9"/>
      <c r="AA506" s="9"/>
      <c r="AB506" s="9"/>
    </row>
    <row r="507">
      <c r="A507" s="5">
        <v>42143.0</v>
      </c>
      <c r="B507" s="6">
        <v>2015.0</v>
      </c>
      <c r="C507" s="7" t="s">
        <v>74</v>
      </c>
      <c r="D507" s="7" t="s">
        <v>57</v>
      </c>
      <c r="E507" s="7" t="s">
        <v>28</v>
      </c>
      <c r="F507" s="6">
        <v>3638.0</v>
      </c>
      <c r="G507" s="6">
        <v>137940.87</v>
      </c>
      <c r="H507" s="6">
        <v>37.92</v>
      </c>
      <c r="I507" s="8">
        <v>40.639376030786146</v>
      </c>
      <c r="J507" s="6">
        <v>147846.05</v>
      </c>
      <c r="K507" s="6">
        <v>-9905.18</v>
      </c>
      <c r="L507" s="6">
        <v>-7.18</v>
      </c>
      <c r="M507" s="6">
        <f t="shared" si="1"/>
        <v>-2.722699285</v>
      </c>
      <c r="N507" s="6">
        <v>-7.18</v>
      </c>
      <c r="O507" s="7" t="s">
        <v>45</v>
      </c>
      <c r="P507" s="7" t="s">
        <v>46</v>
      </c>
      <c r="Q507" s="7" t="s">
        <v>25</v>
      </c>
      <c r="R507" s="10">
        <v>-15090.02</v>
      </c>
      <c r="S507" s="10">
        <v>5184.84</v>
      </c>
      <c r="T507" s="9" t="s">
        <v>33</v>
      </c>
      <c r="U507" s="9"/>
      <c r="V507" s="9"/>
      <c r="W507" s="9"/>
      <c r="X507" s="9"/>
      <c r="Y507" s="9"/>
      <c r="Z507" s="9"/>
      <c r="AA507" s="9"/>
      <c r="AB507" s="9"/>
    </row>
    <row r="508">
      <c r="A508" s="5">
        <v>42144.0</v>
      </c>
      <c r="B508" s="6">
        <v>2015.0</v>
      </c>
      <c r="C508" s="7" t="s">
        <v>74</v>
      </c>
      <c r="D508" s="7" t="s">
        <v>58</v>
      </c>
      <c r="E508" s="7" t="s">
        <v>32</v>
      </c>
      <c r="F508" s="6">
        <v>4394.0</v>
      </c>
      <c r="G508" s="6">
        <v>166176.28</v>
      </c>
      <c r="H508" s="6">
        <v>37.82</v>
      </c>
      <c r="I508" s="8">
        <v>40.639094219390074</v>
      </c>
      <c r="J508" s="6">
        <v>178568.18</v>
      </c>
      <c r="K508" s="6">
        <v>-12391.9</v>
      </c>
      <c r="L508" s="6">
        <v>-7.46</v>
      </c>
      <c r="M508" s="6">
        <f t="shared" si="1"/>
        <v>-2.820186618</v>
      </c>
      <c r="N508" s="6">
        <v>-7.46</v>
      </c>
      <c r="O508" s="7" t="s">
        <v>45</v>
      </c>
      <c r="P508" s="7" t="s">
        <v>46</v>
      </c>
      <c r="Q508" s="7" t="s">
        <v>25</v>
      </c>
      <c r="R508" s="10">
        <v>-9905.18</v>
      </c>
      <c r="S508" s="10">
        <v>-2486.72</v>
      </c>
      <c r="T508" s="9" t="s">
        <v>29</v>
      </c>
      <c r="U508" s="9"/>
      <c r="V508" s="9"/>
      <c r="W508" s="9"/>
      <c r="X508" s="9"/>
      <c r="Y508" s="9"/>
      <c r="Z508" s="9"/>
      <c r="AA508" s="9"/>
      <c r="AB508" s="9"/>
    </row>
    <row r="509">
      <c r="A509" s="5">
        <v>42145.0</v>
      </c>
      <c r="B509" s="6">
        <v>2015.0</v>
      </c>
      <c r="C509" s="7" t="s">
        <v>74</v>
      </c>
      <c r="D509" s="7" t="s">
        <v>59</v>
      </c>
      <c r="E509" s="7" t="s">
        <v>35</v>
      </c>
      <c r="F509" s="6">
        <v>2012.0</v>
      </c>
      <c r="G509" s="6">
        <v>84604.38</v>
      </c>
      <c r="H509" s="6">
        <v>42.05</v>
      </c>
      <c r="I509" s="8">
        <v>40.63780815109344</v>
      </c>
      <c r="J509" s="6">
        <v>81763.27</v>
      </c>
      <c r="K509" s="6">
        <v>2841.11</v>
      </c>
      <c r="L509" s="6">
        <v>3.36</v>
      </c>
      <c r="M509" s="6">
        <f t="shared" si="1"/>
        <v>1.412082505</v>
      </c>
      <c r="N509" s="6">
        <v>3.36</v>
      </c>
      <c r="O509" s="7" t="s">
        <v>45</v>
      </c>
      <c r="P509" s="7" t="s">
        <v>46</v>
      </c>
      <c r="Q509" s="7" t="s">
        <v>25</v>
      </c>
      <c r="R509" s="10">
        <v>-12391.9</v>
      </c>
      <c r="S509" s="10">
        <v>15233.01</v>
      </c>
      <c r="T509" s="9" t="s">
        <v>33</v>
      </c>
      <c r="U509" s="9"/>
      <c r="V509" s="9"/>
      <c r="W509" s="9"/>
      <c r="X509" s="9"/>
      <c r="Y509" s="9"/>
      <c r="Z509" s="9"/>
      <c r="AA509" s="9"/>
      <c r="AB509" s="9"/>
    </row>
    <row r="510">
      <c r="A510" s="5">
        <v>42146.0</v>
      </c>
      <c r="B510" s="6">
        <v>2015.0</v>
      </c>
      <c r="C510" s="7" t="s">
        <v>74</v>
      </c>
      <c r="D510" s="7" t="s">
        <v>60</v>
      </c>
      <c r="E510" s="7" t="s">
        <v>37</v>
      </c>
      <c r="F510" s="6">
        <v>8526.0</v>
      </c>
      <c r="G510" s="6">
        <v>321821.02</v>
      </c>
      <c r="H510" s="6">
        <v>37.75</v>
      </c>
      <c r="I510" s="8">
        <v>40.63893033075299</v>
      </c>
      <c r="J510" s="6">
        <v>346487.52</v>
      </c>
      <c r="K510" s="6">
        <v>-24666.5</v>
      </c>
      <c r="L510" s="6">
        <v>-7.66</v>
      </c>
      <c r="M510" s="6">
        <f t="shared" si="1"/>
        <v>-2.893091719</v>
      </c>
      <c r="N510" s="6">
        <v>-7.66</v>
      </c>
      <c r="O510" s="7" t="s">
        <v>45</v>
      </c>
      <c r="P510" s="7" t="s">
        <v>46</v>
      </c>
      <c r="Q510" s="7" t="s">
        <v>25</v>
      </c>
      <c r="R510" s="10">
        <v>2841.11</v>
      </c>
      <c r="S510" s="10">
        <v>-27507.61</v>
      </c>
      <c r="T510" s="9" t="s">
        <v>29</v>
      </c>
      <c r="U510" s="9"/>
      <c r="V510" s="9"/>
      <c r="W510" s="9"/>
      <c r="X510" s="9"/>
      <c r="Y510" s="9"/>
      <c r="Z510" s="9"/>
      <c r="AA510" s="9"/>
      <c r="AB510" s="9"/>
    </row>
    <row r="511">
      <c r="A511" s="5">
        <v>42147.0</v>
      </c>
      <c r="B511" s="6">
        <v>2015.0</v>
      </c>
      <c r="C511" s="7" t="s">
        <v>74</v>
      </c>
      <c r="D511" s="7" t="s">
        <v>61</v>
      </c>
      <c r="E511" s="7" t="s">
        <v>39</v>
      </c>
      <c r="F511" s="6">
        <v>11096.0</v>
      </c>
      <c r="G511" s="6">
        <v>418715.41</v>
      </c>
      <c r="H511" s="6">
        <v>37.74</v>
      </c>
      <c r="I511" s="8">
        <v>40.63953496755588</v>
      </c>
      <c r="J511" s="6">
        <v>450936.28</v>
      </c>
      <c r="K511" s="6">
        <v>-32220.87</v>
      </c>
      <c r="L511" s="6">
        <v>-7.7</v>
      </c>
      <c r="M511" s="6">
        <f t="shared" si="1"/>
        <v>-2.903827505</v>
      </c>
      <c r="N511" s="6">
        <v>-7.7</v>
      </c>
      <c r="O511" s="7" t="s">
        <v>45</v>
      </c>
      <c r="P511" s="7" t="s">
        <v>46</v>
      </c>
      <c r="Q511" s="7" t="s">
        <v>25</v>
      </c>
      <c r="R511" s="10">
        <v>-24666.5</v>
      </c>
      <c r="S511" s="10">
        <v>-7554.37</v>
      </c>
      <c r="T511" s="9" t="s">
        <v>29</v>
      </c>
      <c r="U511" s="9"/>
      <c r="V511" s="9"/>
      <c r="W511" s="9"/>
      <c r="X511" s="9"/>
      <c r="Y511" s="9"/>
      <c r="Z511" s="9"/>
      <c r="AA511" s="9"/>
      <c r="AB511" s="9"/>
    </row>
    <row r="512">
      <c r="A512" s="5">
        <v>42148.0</v>
      </c>
      <c r="B512" s="6">
        <v>2015.0</v>
      </c>
      <c r="C512" s="7" t="s">
        <v>74</v>
      </c>
      <c r="D512" s="7" t="s">
        <v>62</v>
      </c>
      <c r="E512" s="7" t="s">
        <v>41</v>
      </c>
      <c r="F512" s="6">
        <v>4489.0</v>
      </c>
      <c r="G512" s="6">
        <v>169541.27</v>
      </c>
      <c r="H512" s="6">
        <v>37.77</v>
      </c>
      <c r="I512" s="8">
        <v>40.6369213633326</v>
      </c>
      <c r="J512" s="6">
        <v>182419.14</v>
      </c>
      <c r="K512" s="6">
        <v>-12877.88</v>
      </c>
      <c r="L512" s="6">
        <v>-7.6</v>
      </c>
      <c r="M512" s="6">
        <f t="shared" si="1"/>
        <v>-2.868763644</v>
      </c>
      <c r="N512" s="6">
        <v>-7.6</v>
      </c>
      <c r="O512" s="7" t="s">
        <v>45</v>
      </c>
      <c r="P512" s="7" t="s">
        <v>46</v>
      </c>
      <c r="Q512" s="7" t="s">
        <v>25</v>
      </c>
      <c r="R512" s="10">
        <v>-32220.87</v>
      </c>
      <c r="S512" s="10">
        <v>19342.99</v>
      </c>
      <c r="T512" s="9" t="s">
        <v>33</v>
      </c>
      <c r="U512" s="9"/>
      <c r="V512" s="9"/>
      <c r="W512" s="9"/>
      <c r="X512" s="9"/>
      <c r="Y512" s="9"/>
      <c r="Z512" s="9"/>
      <c r="AA512" s="9"/>
      <c r="AB512" s="9"/>
    </row>
    <row r="513">
      <c r="A513" s="5">
        <v>42149.0</v>
      </c>
      <c r="B513" s="6">
        <v>2015.0</v>
      </c>
      <c r="C513" s="7" t="s">
        <v>74</v>
      </c>
      <c r="D513" s="7" t="s">
        <v>63</v>
      </c>
      <c r="E513" s="7" t="s">
        <v>22</v>
      </c>
      <c r="F513" s="6">
        <v>6795.0</v>
      </c>
      <c r="G513" s="6">
        <v>256434.51</v>
      </c>
      <c r="H513" s="6">
        <v>37.74</v>
      </c>
      <c r="I513" s="8">
        <v>40.64367770419426</v>
      </c>
      <c r="J513" s="6">
        <v>276173.79</v>
      </c>
      <c r="K513" s="6">
        <v>-19739.28</v>
      </c>
      <c r="L513" s="6">
        <v>-7.7</v>
      </c>
      <c r="M513" s="6">
        <f t="shared" si="1"/>
        <v>-2.904971302</v>
      </c>
      <c r="N513" s="6">
        <v>-7.7</v>
      </c>
      <c r="O513" s="7" t="s">
        <v>45</v>
      </c>
      <c r="P513" s="7" t="s">
        <v>46</v>
      </c>
      <c r="Q513" s="7" t="s">
        <v>25</v>
      </c>
      <c r="R513" s="10">
        <v>-12877.88</v>
      </c>
      <c r="S513" s="10">
        <v>-6861.41</v>
      </c>
      <c r="T513" s="9" t="s">
        <v>29</v>
      </c>
      <c r="U513" s="9"/>
      <c r="V513" s="9"/>
      <c r="W513" s="9"/>
      <c r="X513" s="9"/>
      <c r="Y513" s="9"/>
      <c r="Z513" s="9"/>
      <c r="AA513" s="9"/>
      <c r="AB513" s="9"/>
    </row>
    <row r="514">
      <c r="A514" s="5">
        <v>42150.0</v>
      </c>
      <c r="B514" s="6">
        <v>2015.0</v>
      </c>
      <c r="C514" s="7" t="s">
        <v>74</v>
      </c>
      <c r="D514" s="7" t="s">
        <v>64</v>
      </c>
      <c r="E514" s="7" t="s">
        <v>28</v>
      </c>
      <c r="F514" s="6">
        <v>5283.0</v>
      </c>
      <c r="G514" s="6">
        <v>199385.91</v>
      </c>
      <c r="H514" s="6">
        <v>37.74</v>
      </c>
      <c r="I514" s="8">
        <v>40.643526405451446</v>
      </c>
      <c r="J514" s="6">
        <v>214719.75</v>
      </c>
      <c r="K514" s="6">
        <v>-15333.84</v>
      </c>
      <c r="L514" s="6">
        <v>-7.69</v>
      </c>
      <c r="M514" s="6">
        <f t="shared" si="1"/>
        <v>-2.902487223</v>
      </c>
      <c r="N514" s="6">
        <v>-7.69</v>
      </c>
      <c r="O514" s="7" t="s">
        <v>45</v>
      </c>
      <c r="P514" s="7" t="s">
        <v>46</v>
      </c>
      <c r="Q514" s="7" t="s">
        <v>25</v>
      </c>
      <c r="R514" s="10">
        <v>-19739.28</v>
      </c>
      <c r="S514" s="10">
        <v>4405.44</v>
      </c>
      <c r="T514" s="9" t="s">
        <v>33</v>
      </c>
      <c r="U514" s="9"/>
      <c r="V514" s="9"/>
      <c r="W514" s="9"/>
      <c r="X514" s="9"/>
      <c r="Y514" s="9"/>
      <c r="Z514" s="9"/>
      <c r="AA514" s="9"/>
      <c r="AB514" s="9"/>
    </row>
    <row r="515">
      <c r="A515" s="5">
        <v>42151.0</v>
      </c>
      <c r="B515" s="6">
        <v>2015.0</v>
      </c>
      <c r="C515" s="7" t="s">
        <v>74</v>
      </c>
      <c r="D515" s="7" t="s">
        <v>65</v>
      </c>
      <c r="E515" s="7" t="s">
        <v>32</v>
      </c>
      <c r="F515" s="6">
        <v>6453.0</v>
      </c>
      <c r="G515" s="6">
        <v>243554.22</v>
      </c>
      <c r="H515" s="6">
        <v>37.74</v>
      </c>
      <c r="I515" s="8">
        <v>40.64017976135131</v>
      </c>
      <c r="J515" s="6">
        <v>262251.08</v>
      </c>
      <c r="K515" s="6">
        <v>-18696.86</v>
      </c>
      <c r="L515" s="6">
        <v>-7.68</v>
      </c>
      <c r="M515" s="6">
        <f t="shared" si="1"/>
        <v>-2.897390361</v>
      </c>
      <c r="N515" s="6">
        <v>-7.68</v>
      </c>
      <c r="O515" s="7" t="s">
        <v>45</v>
      </c>
      <c r="P515" s="7" t="s">
        <v>46</v>
      </c>
      <c r="Q515" s="7" t="s">
        <v>25</v>
      </c>
      <c r="R515" s="10">
        <v>-15333.84</v>
      </c>
      <c r="S515" s="10">
        <v>-3363.02</v>
      </c>
      <c r="T515" s="9" t="s">
        <v>29</v>
      </c>
      <c r="U515" s="9"/>
      <c r="V515" s="9"/>
      <c r="W515" s="9"/>
      <c r="X515" s="9"/>
      <c r="Y515" s="9"/>
      <c r="Z515" s="9"/>
      <c r="AA515" s="9"/>
      <c r="AB515" s="9"/>
    </row>
    <row r="516">
      <c r="A516" s="5">
        <v>42152.0</v>
      </c>
      <c r="B516" s="6">
        <v>2015.0</v>
      </c>
      <c r="C516" s="7" t="s">
        <v>74</v>
      </c>
      <c r="D516" s="7" t="s">
        <v>66</v>
      </c>
      <c r="E516" s="7" t="s">
        <v>35</v>
      </c>
      <c r="F516" s="6">
        <v>5770.0</v>
      </c>
      <c r="G516" s="6">
        <v>217746.01</v>
      </c>
      <c r="H516" s="6">
        <v>37.74</v>
      </c>
      <c r="I516" s="8">
        <v>40.63837435008666</v>
      </c>
      <c r="J516" s="6">
        <v>234483.42</v>
      </c>
      <c r="K516" s="6">
        <v>-16737.4</v>
      </c>
      <c r="L516" s="6">
        <v>-7.69</v>
      </c>
      <c r="M516" s="6">
        <f t="shared" si="1"/>
        <v>-2.900762565</v>
      </c>
      <c r="N516" s="6">
        <v>-7.69</v>
      </c>
      <c r="O516" s="7" t="s">
        <v>45</v>
      </c>
      <c r="P516" s="7" t="s">
        <v>46</v>
      </c>
      <c r="Q516" s="7" t="s">
        <v>25</v>
      </c>
      <c r="R516" s="10">
        <v>-18696.86</v>
      </c>
      <c r="S516" s="10">
        <v>1959.45</v>
      </c>
      <c r="T516" s="9" t="s">
        <v>33</v>
      </c>
      <c r="U516" s="9"/>
      <c r="V516" s="9"/>
      <c r="W516" s="9"/>
      <c r="X516" s="9"/>
      <c r="Y516" s="9"/>
      <c r="Z516" s="9"/>
      <c r="AA516" s="9"/>
      <c r="AB516" s="9"/>
    </row>
    <row r="517">
      <c r="A517" s="5">
        <v>42153.0</v>
      </c>
      <c r="B517" s="6">
        <v>2015.0</v>
      </c>
      <c r="C517" s="7" t="s">
        <v>74</v>
      </c>
      <c r="D517" s="7" t="s">
        <v>67</v>
      </c>
      <c r="E517" s="7" t="s">
        <v>37</v>
      </c>
      <c r="F517" s="6">
        <v>12507.0</v>
      </c>
      <c r="G517" s="6">
        <v>472160.75</v>
      </c>
      <c r="H517" s="6">
        <v>37.75</v>
      </c>
      <c r="I517" s="8">
        <v>40.63845446549932</v>
      </c>
      <c r="J517" s="6">
        <v>508265.15</v>
      </c>
      <c r="K517" s="6">
        <v>-36104.39</v>
      </c>
      <c r="L517" s="6">
        <v>-7.65</v>
      </c>
      <c r="M517" s="6">
        <f t="shared" si="1"/>
        <v>-2.886734629</v>
      </c>
      <c r="N517" s="6">
        <v>-7.65</v>
      </c>
      <c r="O517" s="7" t="s">
        <v>45</v>
      </c>
      <c r="P517" s="7" t="s">
        <v>46</v>
      </c>
      <c r="Q517" s="7" t="s">
        <v>25</v>
      </c>
      <c r="R517" s="10">
        <v>-16737.4</v>
      </c>
      <c r="S517" s="10">
        <v>-19366.99</v>
      </c>
      <c r="T517" s="9" t="s">
        <v>29</v>
      </c>
      <c r="U517" s="9"/>
      <c r="V517" s="9"/>
      <c r="W517" s="9"/>
      <c r="X517" s="9"/>
      <c r="Y517" s="9"/>
      <c r="Z517" s="9"/>
      <c r="AA517" s="9"/>
      <c r="AB517" s="9"/>
    </row>
    <row r="518">
      <c r="A518" s="5">
        <v>42154.0</v>
      </c>
      <c r="B518" s="6">
        <v>2015.0</v>
      </c>
      <c r="C518" s="7" t="s">
        <v>74</v>
      </c>
      <c r="D518" s="7" t="s">
        <v>21</v>
      </c>
      <c r="E518" s="7" t="s">
        <v>39</v>
      </c>
      <c r="F518" s="6">
        <v>14475.0</v>
      </c>
      <c r="G518" s="6">
        <v>546135.46</v>
      </c>
      <c r="H518" s="6">
        <v>37.73</v>
      </c>
      <c r="I518" s="8">
        <v>40.639045250431785</v>
      </c>
      <c r="J518" s="6">
        <v>588250.18</v>
      </c>
      <c r="K518" s="6">
        <v>-42114.72</v>
      </c>
      <c r="L518" s="6">
        <v>-7.71</v>
      </c>
      <c r="M518" s="6">
        <f t="shared" si="1"/>
        <v>-2.909479793</v>
      </c>
      <c r="N518" s="6">
        <v>-7.71</v>
      </c>
      <c r="O518" s="7" t="s">
        <v>45</v>
      </c>
      <c r="P518" s="7" t="s">
        <v>46</v>
      </c>
      <c r="Q518" s="7" t="s">
        <v>25</v>
      </c>
      <c r="R518" s="10">
        <v>-36104.39</v>
      </c>
      <c r="S518" s="10">
        <v>-6010.32</v>
      </c>
      <c r="T518" s="9" t="s">
        <v>29</v>
      </c>
      <c r="U518" s="9"/>
      <c r="V518" s="9"/>
      <c r="W518" s="9"/>
      <c r="X518" s="9"/>
      <c r="Y518" s="9"/>
      <c r="Z518" s="9"/>
      <c r="AA518" s="9"/>
      <c r="AB518" s="9"/>
    </row>
    <row r="519">
      <c r="A519" s="5">
        <v>42155.0</v>
      </c>
      <c r="B519" s="6">
        <v>2015.0</v>
      </c>
      <c r="C519" s="7" t="s">
        <v>74</v>
      </c>
      <c r="D519" s="7" t="s">
        <v>27</v>
      </c>
      <c r="E519" s="7" t="s">
        <v>41</v>
      </c>
      <c r="F519" s="6">
        <v>7009.0</v>
      </c>
      <c r="G519" s="6">
        <v>264637.37</v>
      </c>
      <c r="H519" s="6">
        <v>37.76</v>
      </c>
      <c r="I519" s="8">
        <v>40.63756027964046</v>
      </c>
      <c r="J519" s="6">
        <v>284828.66</v>
      </c>
      <c r="K519" s="6">
        <v>-20191.29</v>
      </c>
      <c r="L519" s="6">
        <v>-7.63</v>
      </c>
      <c r="M519" s="6">
        <f t="shared" si="1"/>
        <v>-2.880766158</v>
      </c>
      <c r="N519" s="6">
        <v>-7.63</v>
      </c>
      <c r="O519" s="7" t="s">
        <v>45</v>
      </c>
      <c r="P519" s="7" t="s">
        <v>46</v>
      </c>
      <c r="Q519" s="7" t="s">
        <v>25</v>
      </c>
      <c r="R519" s="10">
        <v>-42114.72</v>
      </c>
      <c r="S519" s="10">
        <v>21923.42</v>
      </c>
      <c r="T519" s="9" t="s">
        <v>33</v>
      </c>
      <c r="U519" s="9"/>
      <c r="V519" s="9"/>
      <c r="W519" s="9"/>
      <c r="X519" s="9"/>
      <c r="Y519" s="9"/>
      <c r="Z519" s="9"/>
      <c r="AA519" s="9"/>
      <c r="AB519" s="9"/>
    </row>
    <row r="520">
      <c r="A520" s="5">
        <v>42156.0</v>
      </c>
      <c r="B520" s="6">
        <v>2015.0</v>
      </c>
      <c r="C520" s="7" t="s">
        <v>75</v>
      </c>
      <c r="D520" s="7" t="s">
        <v>31</v>
      </c>
      <c r="E520" s="7" t="s">
        <v>22</v>
      </c>
      <c r="F520" s="6">
        <v>11688.0</v>
      </c>
      <c r="G520" s="6">
        <v>440906.0</v>
      </c>
      <c r="H520" s="6">
        <v>37.72</v>
      </c>
      <c r="I520" s="8">
        <v>40.63717744695414</v>
      </c>
      <c r="J520" s="6">
        <v>474967.33</v>
      </c>
      <c r="K520" s="6">
        <v>-34061.33</v>
      </c>
      <c r="L520" s="6">
        <v>-7.73</v>
      </c>
      <c r="M520" s="6">
        <f t="shared" si="1"/>
        <v>-2.914213723</v>
      </c>
      <c r="N520" s="6">
        <v>-7.73</v>
      </c>
      <c r="O520" s="7" t="s">
        <v>45</v>
      </c>
      <c r="P520" s="7" t="s">
        <v>46</v>
      </c>
      <c r="Q520" s="7" t="s">
        <v>25</v>
      </c>
      <c r="R520" s="10">
        <v>-20191.29</v>
      </c>
      <c r="S520" s="10">
        <v>-13870.03</v>
      </c>
      <c r="T520" s="9" t="s">
        <v>29</v>
      </c>
      <c r="U520" s="9"/>
      <c r="V520" s="9"/>
      <c r="W520" s="9"/>
      <c r="X520" s="9"/>
      <c r="Y520" s="9"/>
      <c r="Z520" s="9"/>
      <c r="AA520" s="9"/>
      <c r="AB520" s="9"/>
    </row>
    <row r="521">
      <c r="A521" s="5">
        <v>42157.0</v>
      </c>
      <c r="B521" s="6">
        <v>2015.0</v>
      </c>
      <c r="C521" s="7" t="s">
        <v>75</v>
      </c>
      <c r="D521" s="7" t="s">
        <v>34</v>
      </c>
      <c r="E521" s="7" t="s">
        <v>28</v>
      </c>
      <c r="F521" s="6">
        <v>8863.0</v>
      </c>
      <c r="G521" s="6">
        <v>334318.9</v>
      </c>
      <c r="H521" s="6">
        <v>37.72</v>
      </c>
      <c r="I521" s="8">
        <v>40.63734965587273</v>
      </c>
      <c r="J521" s="6">
        <v>360168.83</v>
      </c>
      <c r="K521" s="6">
        <v>-25849.93</v>
      </c>
      <c r="L521" s="6">
        <v>-7.73</v>
      </c>
      <c r="M521" s="6">
        <f t="shared" si="1"/>
        <v>-2.916611757</v>
      </c>
      <c r="N521" s="6">
        <v>-7.73</v>
      </c>
      <c r="O521" s="7" t="s">
        <v>45</v>
      </c>
      <c r="P521" s="7" t="s">
        <v>46</v>
      </c>
      <c r="Q521" s="7" t="s">
        <v>25</v>
      </c>
      <c r="R521" s="10">
        <v>-34061.33</v>
      </c>
      <c r="S521" s="10">
        <v>8211.4</v>
      </c>
      <c r="T521" s="9" t="s">
        <v>33</v>
      </c>
      <c r="U521" s="9"/>
      <c r="V521" s="9"/>
      <c r="W521" s="9"/>
      <c r="X521" s="9"/>
      <c r="Y521" s="9"/>
      <c r="Z521" s="9"/>
      <c r="AA521" s="9"/>
      <c r="AB521" s="9"/>
    </row>
    <row r="522">
      <c r="A522" s="5">
        <v>42158.0</v>
      </c>
      <c r="B522" s="6">
        <v>2015.0</v>
      </c>
      <c r="C522" s="7" t="s">
        <v>75</v>
      </c>
      <c r="D522" s="7" t="s">
        <v>36</v>
      </c>
      <c r="E522" s="7" t="s">
        <v>32</v>
      </c>
      <c r="F522" s="6">
        <v>7148.0</v>
      </c>
      <c r="G522" s="6">
        <v>269835.83</v>
      </c>
      <c r="H522" s="6">
        <v>37.75</v>
      </c>
      <c r="I522" s="8">
        <v>40.63963486289871</v>
      </c>
      <c r="J522" s="6">
        <v>290492.11</v>
      </c>
      <c r="K522" s="6">
        <v>-20656.28</v>
      </c>
      <c r="L522" s="6">
        <v>-7.66</v>
      </c>
      <c r="M522" s="6">
        <f t="shared" si="1"/>
        <v>-2.889798545</v>
      </c>
      <c r="N522" s="6">
        <v>-7.66</v>
      </c>
      <c r="O522" s="7" t="s">
        <v>45</v>
      </c>
      <c r="P522" s="7" t="s">
        <v>46</v>
      </c>
      <c r="Q522" s="7" t="s">
        <v>25</v>
      </c>
      <c r="R522" s="10">
        <v>-25849.93</v>
      </c>
      <c r="S522" s="10">
        <v>5193.65</v>
      </c>
      <c r="T522" s="9" t="s">
        <v>33</v>
      </c>
      <c r="U522" s="9"/>
      <c r="V522" s="9"/>
      <c r="W522" s="9"/>
      <c r="X522" s="9"/>
      <c r="Y522" s="9"/>
      <c r="Z522" s="9"/>
      <c r="AA522" s="9"/>
      <c r="AB522" s="9"/>
    </row>
    <row r="523">
      <c r="A523" s="5">
        <v>42159.0</v>
      </c>
      <c r="B523" s="6">
        <v>2015.0</v>
      </c>
      <c r="C523" s="7" t="s">
        <v>75</v>
      </c>
      <c r="D523" s="7" t="s">
        <v>38</v>
      </c>
      <c r="E523" s="7" t="s">
        <v>35</v>
      </c>
      <c r="F523" s="6">
        <v>5326.0</v>
      </c>
      <c r="G523" s="6">
        <v>201146.49</v>
      </c>
      <c r="H523" s="6">
        <v>37.77</v>
      </c>
      <c r="I523" s="8">
        <v>40.636218550506946</v>
      </c>
      <c r="J523" s="6">
        <v>216428.5</v>
      </c>
      <c r="K523" s="6">
        <v>-15282.01</v>
      </c>
      <c r="L523" s="6">
        <v>-7.6</v>
      </c>
      <c r="M523" s="6">
        <f t="shared" si="1"/>
        <v>-2.869322193</v>
      </c>
      <c r="N523" s="6">
        <v>-7.6</v>
      </c>
      <c r="O523" s="7" t="s">
        <v>45</v>
      </c>
      <c r="P523" s="7" t="s">
        <v>46</v>
      </c>
      <c r="Q523" s="7" t="s">
        <v>25</v>
      </c>
      <c r="R523" s="10">
        <v>-20656.28</v>
      </c>
      <c r="S523" s="10">
        <v>5374.27</v>
      </c>
      <c r="T523" s="9" t="s">
        <v>33</v>
      </c>
      <c r="U523" s="9"/>
      <c r="V523" s="9"/>
      <c r="W523" s="9"/>
      <c r="X523" s="9"/>
      <c r="Y523" s="9"/>
      <c r="Z523" s="9"/>
      <c r="AA523" s="9"/>
      <c r="AB523" s="9"/>
    </row>
    <row r="524">
      <c r="A524" s="5">
        <v>42160.0</v>
      </c>
      <c r="B524" s="6">
        <v>2015.0</v>
      </c>
      <c r="C524" s="7" t="s">
        <v>75</v>
      </c>
      <c r="D524" s="7" t="s">
        <v>40</v>
      </c>
      <c r="E524" s="7" t="s">
        <v>37</v>
      </c>
      <c r="F524" s="6">
        <v>7775.0</v>
      </c>
      <c r="G524" s="6">
        <v>293461.08</v>
      </c>
      <c r="H524" s="6">
        <v>37.74</v>
      </c>
      <c r="I524" s="8">
        <v>40.63509453376206</v>
      </c>
      <c r="J524" s="6">
        <v>315937.86</v>
      </c>
      <c r="K524" s="6">
        <v>-22476.78</v>
      </c>
      <c r="L524" s="6">
        <v>-7.66</v>
      </c>
      <c r="M524" s="6">
        <f t="shared" si="1"/>
        <v>-2.89090418</v>
      </c>
      <c r="N524" s="6">
        <v>-7.66</v>
      </c>
      <c r="O524" s="7" t="s">
        <v>45</v>
      </c>
      <c r="P524" s="7" t="s">
        <v>46</v>
      </c>
      <c r="Q524" s="7" t="s">
        <v>25</v>
      </c>
      <c r="R524" s="10">
        <v>-15282.01</v>
      </c>
      <c r="S524" s="10">
        <v>-7194.77</v>
      </c>
      <c r="T524" s="9" t="s">
        <v>29</v>
      </c>
      <c r="U524" s="9"/>
      <c r="V524" s="9"/>
      <c r="W524" s="9"/>
      <c r="X524" s="9"/>
      <c r="Y524" s="9"/>
      <c r="Z524" s="9"/>
      <c r="AA524" s="9"/>
      <c r="AB524" s="9"/>
    </row>
    <row r="525">
      <c r="A525" s="5">
        <v>42161.0</v>
      </c>
      <c r="B525" s="6">
        <v>2015.0</v>
      </c>
      <c r="C525" s="7" t="s">
        <v>75</v>
      </c>
      <c r="D525" s="7" t="s">
        <v>42</v>
      </c>
      <c r="E525" s="7" t="s">
        <v>39</v>
      </c>
      <c r="F525" s="6">
        <v>9255.0</v>
      </c>
      <c r="G525" s="6">
        <v>349413.01</v>
      </c>
      <c r="H525" s="6">
        <v>37.75</v>
      </c>
      <c r="I525" s="8">
        <v>40.63692274446245</v>
      </c>
      <c r="J525" s="6">
        <v>376094.72</v>
      </c>
      <c r="K525" s="6">
        <v>-26681.71</v>
      </c>
      <c r="L525" s="6">
        <v>-7.64</v>
      </c>
      <c r="M525" s="6">
        <f t="shared" si="1"/>
        <v>-2.882950837</v>
      </c>
      <c r="N525" s="6">
        <v>-7.64</v>
      </c>
      <c r="O525" s="7" t="s">
        <v>45</v>
      </c>
      <c r="P525" s="7" t="s">
        <v>46</v>
      </c>
      <c r="Q525" s="7" t="s">
        <v>25</v>
      </c>
      <c r="R525" s="10">
        <v>-22476.78</v>
      </c>
      <c r="S525" s="10">
        <v>-4204.93</v>
      </c>
      <c r="T525" s="9" t="s">
        <v>29</v>
      </c>
      <c r="U525" s="9"/>
      <c r="V525" s="9"/>
      <c r="W525" s="9"/>
      <c r="X525" s="9"/>
      <c r="Y525" s="9"/>
      <c r="Z525" s="9"/>
      <c r="AA525" s="9"/>
      <c r="AB525" s="9"/>
    </row>
    <row r="526">
      <c r="A526" s="5">
        <v>42162.0</v>
      </c>
      <c r="B526" s="6">
        <v>2015.0</v>
      </c>
      <c r="C526" s="7" t="s">
        <v>75</v>
      </c>
      <c r="D526" s="7" t="s">
        <v>43</v>
      </c>
      <c r="E526" s="7" t="s">
        <v>41</v>
      </c>
      <c r="F526" s="6">
        <v>4758.0</v>
      </c>
      <c r="G526" s="6">
        <v>179602.92</v>
      </c>
      <c r="H526" s="6">
        <v>37.75</v>
      </c>
      <c r="I526" s="8">
        <v>40.63652585119798</v>
      </c>
      <c r="J526" s="6">
        <v>193348.59</v>
      </c>
      <c r="K526" s="6">
        <v>-13745.68</v>
      </c>
      <c r="L526" s="6">
        <v>-7.65</v>
      </c>
      <c r="M526" s="6">
        <f t="shared" si="1"/>
        <v>-2.888961749</v>
      </c>
      <c r="N526" s="6">
        <v>-7.65</v>
      </c>
      <c r="O526" s="7" t="s">
        <v>45</v>
      </c>
      <c r="P526" s="7" t="s">
        <v>46</v>
      </c>
      <c r="Q526" s="7" t="s">
        <v>25</v>
      </c>
      <c r="R526" s="10">
        <v>-26681.71</v>
      </c>
      <c r="S526" s="10">
        <v>12936.04</v>
      </c>
      <c r="T526" s="9" t="s">
        <v>33</v>
      </c>
      <c r="U526" s="9"/>
      <c r="V526" s="9"/>
      <c r="W526" s="9"/>
      <c r="X526" s="9"/>
      <c r="Y526" s="9"/>
      <c r="Z526" s="9"/>
      <c r="AA526" s="9"/>
      <c r="AB526" s="9"/>
    </row>
    <row r="527">
      <c r="A527" s="5">
        <v>42163.0</v>
      </c>
      <c r="B527" s="6">
        <v>2015.0</v>
      </c>
      <c r="C527" s="7" t="s">
        <v>75</v>
      </c>
      <c r="D527" s="7" t="s">
        <v>44</v>
      </c>
      <c r="E527" s="7" t="s">
        <v>22</v>
      </c>
      <c r="F527" s="6">
        <v>2613.0</v>
      </c>
      <c r="G527" s="6">
        <v>109810.55</v>
      </c>
      <c r="H527" s="6">
        <v>42.02</v>
      </c>
      <c r="I527" s="8">
        <v>40.62995790279373</v>
      </c>
      <c r="J527" s="6">
        <v>106166.08</v>
      </c>
      <c r="K527" s="6">
        <v>3644.46</v>
      </c>
      <c r="L527" s="6">
        <v>3.32</v>
      </c>
      <c r="M527" s="6">
        <f t="shared" si="1"/>
        <v>1.394741676</v>
      </c>
      <c r="N527" s="6">
        <v>3.32</v>
      </c>
      <c r="O527" s="7" t="s">
        <v>45</v>
      </c>
      <c r="P527" s="7" t="s">
        <v>46</v>
      </c>
      <c r="Q527" s="7" t="s">
        <v>25</v>
      </c>
      <c r="R527" s="10">
        <v>-13745.68</v>
      </c>
      <c r="S527" s="10">
        <v>17390.14</v>
      </c>
      <c r="T527" s="9" t="s">
        <v>33</v>
      </c>
      <c r="U527" s="9"/>
      <c r="V527" s="9"/>
      <c r="W527" s="9"/>
      <c r="X527" s="9"/>
      <c r="Y527" s="9"/>
      <c r="Z527" s="9"/>
      <c r="AA527" s="9"/>
      <c r="AB527" s="9"/>
    </row>
    <row r="528">
      <c r="A528" s="5">
        <v>42164.0</v>
      </c>
      <c r="B528" s="6">
        <v>2015.0</v>
      </c>
      <c r="C528" s="7" t="s">
        <v>75</v>
      </c>
      <c r="D528" s="7" t="s">
        <v>47</v>
      </c>
      <c r="E528" s="7" t="s">
        <v>28</v>
      </c>
      <c r="F528" s="6">
        <v>1830.0</v>
      </c>
      <c r="G528" s="6">
        <v>76956.92</v>
      </c>
      <c r="H528" s="6">
        <v>42.05</v>
      </c>
      <c r="I528" s="8">
        <v>40.55343715846994</v>
      </c>
      <c r="J528" s="6">
        <v>74212.79</v>
      </c>
      <c r="K528" s="6">
        <v>2744.13</v>
      </c>
      <c r="L528" s="6">
        <v>3.57</v>
      </c>
      <c r="M528" s="6">
        <f t="shared" si="1"/>
        <v>1.49952459</v>
      </c>
      <c r="N528" s="6">
        <v>3.57</v>
      </c>
      <c r="O528" s="7" t="s">
        <v>45</v>
      </c>
      <c r="P528" s="7" t="s">
        <v>46</v>
      </c>
      <c r="Q528" s="7" t="s">
        <v>25</v>
      </c>
      <c r="R528" s="10">
        <v>3644.46</v>
      </c>
      <c r="S528" s="10">
        <v>-900.33</v>
      </c>
      <c r="T528" s="9" t="s">
        <v>29</v>
      </c>
      <c r="U528" s="9"/>
      <c r="V528" s="9"/>
      <c r="W528" s="9"/>
      <c r="X528" s="9"/>
      <c r="Y528" s="9"/>
      <c r="Z528" s="9"/>
      <c r="AA528" s="9"/>
      <c r="AB528" s="9"/>
    </row>
    <row r="529">
      <c r="A529" s="5">
        <v>42165.0</v>
      </c>
      <c r="B529" s="6">
        <v>2015.0</v>
      </c>
      <c r="C529" s="7" t="s">
        <v>75</v>
      </c>
      <c r="D529" s="7" t="s">
        <v>48</v>
      </c>
      <c r="E529" s="7" t="s">
        <v>32</v>
      </c>
      <c r="F529" s="6">
        <v>1694.0</v>
      </c>
      <c r="G529" s="6">
        <v>71199.59</v>
      </c>
      <c r="H529" s="6">
        <v>42.03</v>
      </c>
      <c r="I529" s="8">
        <v>40.536829988193624</v>
      </c>
      <c r="J529" s="6">
        <v>68669.39</v>
      </c>
      <c r="K529" s="6">
        <v>2530.19</v>
      </c>
      <c r="L529" s="6">
        <v>3.55</v>
      </c>
      <c r="M529" s="6">
        <f t="shared" si="1"/>
        <v>1.493618654</v>
      </c>
      <c r="N529" s="6">
        <v>3.55</v>
      </c>
      <c r="O529" s="7" t="s">
        <v>45</v>
      </c>
      <c r="P529" s="7" t="s">
        <v>46</v>
      </c>
      <c r="Q529" s="7" t="s">
        <v>25</v>
      </c>
      <c r="R529" s="10">
        <v>2744.13</v>
      </c>
      <c r="S529" s="10">
        <v>-213.94</v>
      </c>
      <c r="T529" s="9" t="s">
        <v>29</v>
      </c>
      <c r="U529" s="9"/>
      <c r="V529" s="9"/>
      <c r="W529" s="9"/>
      <c r="X529" s="9"/>
      <c r="Y529" s="9"/>
      <c r="Z529" s="9"/>
      <c r="AA529" s="9"/>
      <c r="AB529" s="9"/>
    </row>
    <row r="530">
      <c r="A530" s="5">
        <v>42166.0</v>
      </c>
      <c r="B530" s="6">
        <v>2015.0</v>
      </c>
      <c r="C530" s="7" t="s">
        <v>75</v>
      </c>
      <c r="D530" s="7" t="s">
        <v>49</v>
      </c>
      <c r="E530" s="7" t="s">
        <v>35</v>
      </c>
      <c r="F530" s="6">
        <v>1642.0</v>
      </c>
      <c r="G530" s="6">
        <v>68988.35</v>
      </c>
      <c r="H530" s="6">
        <v>42.01</v>
      </c>
      <c r="I530" s="8">
        <v>40.52324604141291</v>
      </c>
      <c r="J530" s="6">
        <v>66539.17</v>
      </c>
      <c r="K530" s="6">
        <v>2449.18</v>
      </c>
      <c r="L530" s="6">
        <v>3.55</v>
      </c>
      <c r="M530" s="6">
        <f t="shared" si="1"/>
        <v>1.491583435</v>
      </c>
      <c r="N530" s="6">
        <v>3.55</v>
      </c>
      <c r="O530" s="7" t="s">
        <v>45</v>
      </c>
      <c r="P530" s="7" t="s">
        <v>46</v>
      </c>
      <c r="Q530" s="7" t="s">
        <v>25</v>
      </c>
      <c r="R530" s="10">
        <v>2530.19</v>
      </c>
      <c r="S530" s="10">
        <v>-81.01</v>
      </c>
      <c r="T530" s="9" t="s">
        <v>29</v>
      </c>
      <c r="U530" s="9"/>
      <c r="V530" s="9"/>
      <c r="W530" s="9"/>
      <c r="X530" s="9"/>
      <c r="Y530" s="9"/>
      <c r="Z530" s="9"/>
      <c r="AA530" s="9"/>
      <c r="AB530" s="9"/>
    </row>
    <row r="531">
      <c r="A531" s="5">
        <v>42167.0</v>
      </c>
      <c r="B531" s="6">
        <v>2015.0</v>
      </c>
      <c r="C531" s="7" t="s">
        <v>75</v>
      </c>
      <c r="D531" s="7" t="s">
        <v>50</v>
      </c>
      <c r="E531" s="7" t="s">
        <v>37</v>
      </c>
      <c r="F531" s="6">
        <v>3690.0</v>
      </c>
      <c r="G531" s="6">
        <v>155156.88</v>
      </c>
      <c r="H531" s="6">
        <v>42.05</v>
      </c>
      <c r="I531" s="8">
        <v>40.494102981029805</v>
      </c>
      <c r="J531" s="6">
        <v>149423.24</v>
      </c>
      <c r="K531" s="6">
        <v>5733.64</v>
      </c>
      <c r="L531" s="6">
        <v>3.7</v>
      </c>
      <c r="M531" s="6">
        <f t="shared" si="1"/>
        <v>1.553831978</v>
      </c>
      <c r="N531" s="6">
        <v>3.7</v>
      </c>
      <c r="O531" s="7" t="s">
        <v>45</v>
      </c>
      <c r="P531" s="7" t="s">
        <v>46</v>
      </c>
      <c r="Q531" s="7" t="s">
        <v>25</v>
      </c>
      <c r="R531" s="10">
        <v>2449.18</v>
      </c>
      <c r="S531" s="10">
        <v>3284.45</v>
      </c>
      <c r="T531" s="9" t="s">
        <v>33</v>
      </c>
      <c r="U531" s="9"/>
      <c r="V531" s="9"/>
      <c r="W531" s="9"/>
      <c r="X531" s="9"/>
      <c r="Y531" s="9"/>
      <c r="Z531" s="9"/>
      <c r="AA531" s="9"/>
      <c r="AB531" s="9"/>
    </row>
    <row r="532">
      <c r="A532" s="5">
        <v>42168.0</v>
      </c>
      <c r="B532" s="6">
        <v>2015.0</v>
      </c>
      <c r="C532" s="7" t="s">
        <v>75</v>
      </c>
      <c r="D532" s="7" t="s">
        <v>51</v>
      </c>
      <c r="E532" s="7" t="s">
        <v>39</v>
      </c>
      <c r="F532" s="6">
        <v>4404.0</v>
      </c>
      <c r="G532" s="6">
        <v>185109.52</v>
      </c>
      <c r="H532" s="6">
        <v>42.03</v>
      </c>
      <c r="I532" s="8">
        <v>40.496678019981836</v>
      </c>
      <c r="J532" s="6">
        <v>178347.37</v>
      </c>
      <c r="K532" s="6">
        <v>6762.15</v>
      </c>
      <c r="L532" s="6">
        <v>3.65</v>
      </c>
      <c r="M532" s="6">
        <f t="shared" si="1"/>
        <v>1.535456403</v>
      </c>
      <c r="N532" s="6">
        <v>3.65</v>
      </c>
      <c r="O532" s="7" t="s">
        <v>45</v>
      </c>
      <c r="P532" s="7" t="s">
        <v>46</v>
      </c>
      <c r="Q532" s="7" t="s">
        <v>25</v>
      </c>
      <c r="R532" s="10">
        <v>5733.64</v>
      </c>
      <c r="S532" s="10">
        <v>1028.52</v>
      </c>
      <c r="T532" s="9" t="s">
        <v>33</v>
      </c>
      <c r="U532" s="9"/>
      <c r="V532" s="9"/>
      <c r="W532" s="9"/>
      <c r="X532" s="9"/>
      <c r="Y532" s="9"/>
      <c r="Z532" s="9"/>
      <c r="AA532" s="9"/>
      <c r="AB532" s="9"/>
    </row>
    <row r="533">
      <c r="A533" s="5">
        <v>42169.0</v>
      </c>
      <c r="B533" s="6">
        <v>2015.0</v>
      </c>
      <c r="C533" s="7" t="s">
        <v>75</v>
      </c>
      <c r="D533" s="7" t="s">
        <v>52</v>
      </c>
      <c r="E533" s="7" t="s">
        <v>41</v>
      </c>
      <c r="F533" s="6">
        <v>1992.0</v>
      </c>
      <c r="G533" s="6">
        <v>83779.54</v>
      </c>
      <c r="H533" s="6">
        <v>42.06</v>
      </c>
      <c r="I533" s="8">
        <v>40.49187751004016</v>
      </c>
      <c r="J533" s="6">
        <v>80659.82</v>
      </c>
      <c r="K533" s="6">
        <v>3119.72</v>
      </c>
      <c r="L533" s="6">
        <v>3.72</v>
      </c>
      <c r="M533" s="6">
        <f t="shared" si="1"/>
        <v>1.566124498</v>
      </c>
      <c r="N533" s="6">
        <v>3.72</v>
      </c>
      <c r="O533" s="7" t="s">
        <v>45</v>
      </c>
      <c r="P533" s="7" t="s">
        <v>46</v>
      </c>
      <c r="Q533" s="7" t="s">
        <v>25</v>
      </c>
      <c r="R533" s="10">
        <v>6762.15</v>
      </c>
      <c r="S533" s="10">
        <v>-3642.43</v>
      </c>
      <c r="T533" s="9" t="s">
        <v>29</v>
      </c>
      <c r="U533" s="9"/>
      <c r="V533" s="9"/>
      <c r="W533" s="9"/>
      <c r="X533" s="9"/>
      <c r="Y533" s="9"/>
      <c r="Z533" s="9"/>
      <c r="AA533" s="9"/>
      <c r="AB533" s="9"/>
    </row>
    <row r="534">
      <c r="A534" s="5">
        <v>42170.0</v>
      </c>
      <c r="B534" s="6">
        <v>2015.0</v>
      </c>
      <c r="C534" s="7" t="s">
        <v>75</v>
      </c>
      <c r="D534" s="7" t="s">
        <v>53</v>
      </c>
      <c r="E534" s="7" t="s">
        <v>22</v>
      </c>
      <c r="F534" s="6">
        <v>3557.0</v>
      </c>
      <c r="G534" s="6">
        <v>149501.57</v>
      </c>
      <c r="H534" s="6">
        <v>42.03</v>
      </c>
      <c r="I534" s="8">
        <v>40.47311498453753</v>
      </c>
      <c r="J534" s="6">
        <v>143962.87</v>
      </c>
      <c r="K534" s="6">
        <v>5538.7</v>
      </c>
      <c r="L534" s="6">
        <v>3.7</v>
      </c>
      <c r="M534" s="6">
        <f t="shared" si="1"/>
        <v>1.557126792</v>
      </c>
      <c r="N534" s="6">
        <v>3.7</v>
      </c>
      <c r="O534" s="7" t="s">
        <v>45</v>
      </c>
      <c r="P534" s="7" t="s">
        <v>46</v>
      </c>
      <c r="Q534" s="7" t="s">
        <v>25</v>
      </c>
      <c r="R534" s="10">
        <v>3119.72</v>
      </c>
      <c r="S534" s="10">
        <v>2418.98</v>
      </c>
      <c r="T534" s="9" t="s">
        <v>33</v>
      </c>
      <c r="U534" s="9"/>
      <c r="V534" s="9"/>
      <c r="W534" s="9"/>
      <c r="X534" s="9"/>
      <c r="Y534" s="9"/>
      <c r="Z534" s="9"/>
      <c r="AA534" s="9"/>
      <c r="AB534" s="9"/>
    </row>
    <row r="535">
      <c r="A535" s="5">
        <v>42171.0</v>
      </c>
      <c r="B535" s="6">
        <v>2015.0</v>
      </c>
      <c r="C535" s="7" t="s">
        <v>75</v>
      </c>
      <c r="D535" s="7" t="s">
        <v>54</v>
      </c>
      <c r="E535" s="7" t="s">
        <v>28</v>
      </c>
      <c r="F535" s="6">
        <v>2395.0</v>
      </c>
      <c r="G535" s="6">
        <v>100477.3</v>
      </c>
      <c r="H535" s="6">
        <v>41.95</v>
      </c>
      <c r="I535" s="8">
        <v>40.42175365344468</v>
      </c>
      <c r="J535" s="6">
        <v>96810.1</v>
      </c>
      <c r="K535" s="6">
        <v>3667.19</v>
      </c>
      <c r="L535" s="6">
        <v>3.65</v>
      </c>
      <c r="M535" s="6">
        <f t="shared" si="1"/>
        <v>1.531185804</v>
      </c>
      <c r="N535" s="6">
        <v>3.65</v>
      </c>
      <c r="O535" s="7" t="s">
        <v>45</v>
      </c>
      <c r="P535" s="7" t="s">
        <v>46</v>
      </c>
      <c r="Q535" s="7" t="s">
        <v>25</v>
      </c>
      <c r="R535" s="10">
        <v>5538.7</v>
      </c>
      <c r="S535" s="10">
        <v>-1871.51</v>
      </c>
      <c r="T535" s="9" t="s">
        <v>29</v>
      </c>
      <c r="U535" s="9"/>
      <c r="V535" s="9"/>
      <c r="W535" s="9"/>
      <c r="X535" s="9"/>
      <c r="Y535" s="9"/>
      <c r="Z535" s="9"/>
      <c r="AA535" s="9"/>
      <c r="AB535" s="9"/>
    </row>
    <row r="536">
      <c r="A536" s="5">
        <v>42172.0</v>
      </c>
      <c r="B536" s="6">
        <v>2015.0</v>
      </c>
      <c r="C536" s="7" t="s">
        <v>75</v>
      </c>
      <c r="D536" s="7" t="s">
        <v>55</v>
      </c>
      <c r="E536" s="7" t="s">
        <v>32</v>
      </c>
      <c r="F536" s="6">
        <v>2120.0</v>
      </c>
      <c r="G536" s="6">
        <v>89072.71</v>
      </c>
      <c r="H536" s="6">
        <v>42.02</v>
      </c>
      <c r="I536" s="8">
        <v>40.39590094339623</v>
      </c>
      <c r="J536" s="6">
        <v>85639.31</v>
      </c>
      <c r="K536" s="6">
        <v>3433.4</v>
      </c>
      <c r="L536" s="6">
        <v>3.85</v>
      </c>
      <c r="M536" s="6">
        <f t="shared" si="1"/>
        <v>1.619528302</v>
      </c>
      <c r="N536" s="6">
        <v>3.85</v>
      </c>
      <c r="O536" s="7" t="s">
        <v>45</v>
      </c>
      <c r="P536" s="7" t="s">
        <v>46</v>
      </c>
      <c r="Q536" s="7" t="s">
        <v>25</v>
      </c>
      <c r="R536" s="10">
        <v>3667.19</v>
      </c>
      <c r="S536" s="10">
        <v>-233.8</v>
      </c>
      <c r="T536" s="9" t="s">
        <v>29</v>
      </c>
      <c r="U536" s="9"/>
      <c r="V536" s="9"/>
      <c r="W536" s="9"/>
      <c r="X536" s="9"/>
      <c r="Y536" s="9"/>
      <c r="Z536" s="9"/>
      <c r="AA536" s="9"/>
      <c r="AB536" s="9"/>
    </row>
    <row r="537">
      <c r="A537" s="5">
        <v>42173.0</v>
      </c>
      <c r="B537" s="6">
        <v>2015.0</v>
      </c>
      <c r="C537" s="7" t="s">
        <v>75</v>
      </c>
      <c r="D537" s="7" t="s">
        <v>56</v>
      </c>
      <c r="E537" s="7" t="s">
        <v>35</v>
      </c>
      <c r="F537" s="6">
        <v>1875.0</v>
      </c>
      <c r="G537" s="6">
        <v>78746.6</v>
      </c>
      <c r="H537" s="6">
        <v>42.0</v>
      </c>
      <c r="I537" s="8">
        <v>40.359349333333334</v>
      </c>
      <c r="J537" s="6">
        <v>75673.78</v>
      </c>
      <c r="K537" s="6">
        <v>3072.81</v>
      </c>
      <c r="L537" s="6">
        <v>3.9</v>
      </c>
      <c r="M537" s="6">
        <f t="shared" si="1"/>
        <v>1.638832</v>
      </c>
      <c r="N537" s="6">
        <v>3.9</v>
      </c>
      <c r="O537" s="7" t="s">
        <v>45</v>
      </c>
      <c r="P537" s="7" t="s">
        <v>46</v>
      </c>
      <c r="Q537" s="7" t="s">
        <v>25</v>
      </c>
      <c r="R537" s="10">
        <v>3433.4</v>
      </c>
      <c r="S537" s="10">
        <v>-360.58</v>
      </c>
      <c r="T537" s="9" t="s">
        <v>29</v>
      </c>
      <c r="U537" s="9"/>
      <c r="V537" s="9"/>
      <c r="W537" s="9"/>
      <c r="X537" s="9"/>
      <c r="Y537" s="9"/>
      <c r="Z537" s="9"/>
      <c r="AA537" s="9"/>
      <c r="AB537" s="9"/>
    </row>
    <row r="538">
      <c r="A538" s="5">
        <v>42174.0</v>
      </c>
      <c r="B538" s="6">
        <v>2015.0</v>
      </c>
      <c r="C538" s="7" t="s">
        <v>75</v>
      </c>
      <c r="D538" s="7" t="s">
        <v>57</v>
      </c>
      <c r="E538" s="7" t="s">
        <v>37</v>
      </c>
      <c r="F538" s="6">
        <v>3376.0</v>
      </c>
      <c r="G538" s="6">
        <v>141913.38</v>
      </c>
      <c r="H538" s="6">
        <v>42.04</v>
      </c>
      <c r="I538" s="8">
        <v>40.28961789099526</v>
      </c>
      <c r="J538" s="6">
        <v>136017.75</v>
      </c>
      <c r="K538" s="6">
        <v>5895.63</v>
      </c>
      <c r="L538" s="6">
        <v>4.15</v>
      </c>
      <c r="M538" s="6">
        <f t="shared" si="1"/>
        <v>1.7463359</v>
      </c>
      <c r="N538" s="6">
        <v>4.15</v>
      </c>
      <c r="O538" s="7" t="s">
        <v>45</v>
      </c>
      <c r="P538" s="7" t="s">
        <v>46</v>
      </c>
      <c r="Q538" s="7" t="s">
        <v>25</v>
      </c>
      <c r="R538" s="10">
        <v>3072.81</v>
      </c>
      <c r="S538" s="10">
        <v>2822.82</v>
      </c>
      <c r="T538" s="9" t="s">
        <v>33</v>
      </c>
      <c r="U538" s="9"/>
      <c r="V538" s="9"/>
      <c r="W538" s="9"/>
      <c r="X538" s="9"/>
      <c r="Y538" s="9"/>
      <c r="Z538" s="9"/>
      <c r="AA538" s="9"/>
      <c r="AB538" s="9"/>
    </row>
    <row r="539">
      <c r="A539" s="5">
        <v>42175.0</v>
      </c>
      <c r="B539" s="6">
        <v>2015.0</v>
      </c>
      <c r="C539" s="7" t="s">
        <v>75</v>
      </c>
      <c r="D539" s="7" t="s">
        <v>58</v>
      </c>
      <c r="E539" s="7" t="s">
        <v>39</v>
      </c>
      <c r="F539" s="6">
        <v>4027.0</v>
      </c>
      <c r="G539" s="6">
        <v>169304.28</v>
      </c>
      <c r="H539" s="6">
        <v>42.04</v>
      </c>
      <c r="I539" s="8">
        <v>40.29995281847529</v>
      </c>
      <c r="J539" s="6">
        <v>162287.91</v>
      </c>
      <c r="K539" s="6">
        <v>7016.37</v>
      </c>
      <c r="L539" s="6">
        <v>4.14</v>
      </c>
      <c r="M539" s="6">
        <f t="shared" si="1"/>
        <v>1.742331761</v>
      </c>
      <c r="N539" s="6">
        <v>4.14</v>
      </c>
      <c r="O539" s="7" t="s">
        <v>45</v>
      </c>
      <c r="P539" s="7" t="s">
        <v>46</v>
      </c>
      <c r="Q539" s="7" t="s">
        <v>25</v>
      </c>
      <c r="R539" s="10">
        <v>5895.63</v>
      </c>
      <c r="S539" s="10">
        <v>1120.74</v>
      </c>
      <c r="T539" s="9" t="s">
        <v>33</v>
      </c>
      <c r="U539" s="9"/>
      <c r="V539" s="9"/>
      <c r="W539" s="9"/>
      <c r="X539" s="9"/>
      <c r="Y539" s="9"/>
      <c r="Z539" s="9"/>
      <c r="AA539" s="9"/>
      <c r="AB539" s="9"/>
    </row>
    <row r="540">
      <c r="A540" s="5">
        <v>42176.0</v>
      </c>
      <c r="B540" s="6">
        <v>2015.0</v>
      </c>
      <c r="C540" s="7" t="s">
        <v>75</v>
      </c>
      <c r="D540" s="7" t="s">
        <v>59</v>
      </c>
      <c r="E540" s="7" t="s">
        <v>41</v>
      </c>
      <c r="F540" s="6">
        <v>2128.0</v>
      </c>
      <c r="G540" s="6">
        <v>89512.24</v>
      </c>
      <c r="H540" s="6">
        <v>42.06</v>
      </c>
      <c r="I540" s="8">
        <v>40.31100093984962</v>
      </c>
      <c r="J540" s="6">
        <v>85781.81</v>
      </c>
      <c r="K540" s="6">
        <v>3730.44</v>
      </c>
      <c r="L540" s="6">
        <v>4.17</v>
      </c>
      <c r="M540" s="6">
        <f t="shared" si="1"/>
        <v>1.753026316</v>
      </c>
      <c r="N540" s="6">
        <v>4.17</v>
      </c>
      <c r="O540" s="7" t="s">
        <v>45</v>
      </c>
      <c r="P540" s="7" t="s">
        <v>46</v>
      </c>
      <c r="Q540" s="7" t="s">
        <v>25</v>
      </c>
      <c r="R540" s="10">
        <v>7016.37</v>
      </c>
      <c r="S540" s="10">
        <v>-3285.93</v>
      </c>
      <c r="T540" s="9" t="s">
        <v>29</v>
      </c>
      <c r="U540" s="9"/>
      <c r="V540" s="9"/>
      <c r="W540" s="9"/>
      <c r="X540" s="9"/>
      <c r="Y540" s="9"/>
      <c r="Z540" s="9"/>
      <c r="AA540" s="9"/>
      <c r="AB540" s="9"/>
    </row>
    <row r="541">
      <c r="A541" s="5">
        <v>42177.0</v>
      </c>
      <c r="B541" s="6">
        <v>2015.0</v>
      </c>
      <c r="C541" s="7" t="s">
        <v>75</v>
      </c>
      <c r="D541" s="7" t="s">
        <v>60</v>
      </c>
      <c r="E541" s="7" t="s">
        <v>22</v>
      </c>
      <c r="F541" s="6">
        <v>2046.0</v>
      </c>
      <c r="G541" s="6">
        <v>85984.08</v>
      </c>
      <c r="H541" s="6">
        <v>42.03</v>
      </c>
      <c r="I541" s="8">
        <v>40.28701368523949</v>
      </c>
      <c r="J541" s="6">
        <v>82427.23</v>
      </c>
      <c r="K541" s="6">
        <v>3556.84</v>
      </c>
      <c r="L541" s="6">
        <v>4.14</v>
      </c>
      <c r="M541" s="6">
        <f t="shared" si="1"/>
        <v>1.738435973</v>
      </c>
      <c r="N541" s="6">
        <v>4.14</v>
      </c>
      <c r="O541" s="7" t="s">
        <v>45</v>
      </c>
      <c r="P541" s="7" t="s">
        <v>46</v>
      </c>
      <c r="Q541" s="7" t="s">
        <v>25</v>
      </c>
      <c r="R541" s="10">
        <v>3730.44</v>
      </c>
      <c r="S541" s="10">
        <v>-173.59</v>
      </c>
      <c r="T541" s="9" t="s">
        <v>29</v>
      </c>
      <c r="U541" s="9"/>
      <c r="V541" s="9"/>
      <c r="W541" s="9"/>
      <c r="X541" s="9"/>
      <c r="Y541" s="9"/>
      <c r="Z541" s="9"/>
      <c r="AA541" s="9"/>
      <c r="AB541" s="9"/>
    </row>
    <row r="542">
      <c r="A542" s="5">
        <v>42178.0</v>
      </c>
      <c r="B542" s="6">
        <v>2015.0</v>
      </c>
      <c r="C542" s="7" t="s">
        <v>75</v>
      </c>
      <c r="D542" s="7" t="s">
        <v>61</v>
      </c>
      <c r="E542" s="7" t="s">
        <v>28</v>
      </c>
      <c r="F542" s="6">
        <v>1546.0</v>
      </c>
      <c r="G542" s="6">
        <v>64956.46</v>
      </c>
      <c r="H542" s="6">
        <v>42.02</v>
      </c>
      <c r="I542" s="8">
        <v>40.213311772315656</v>
      </c>
      <c r="J542" s="6">
        <v>62169.78</v>
      </c>
      <c r="K542" s="6">
        <v>2786.68</v>
      </c>
      <c r="L542" s="6">
        <v>4.29</v>
      </c>
      <c r="M542" s="6">
        <f t="shared" si="1"/>
        <v>1.802509702</v>
      </c>
      <c r="N542" s="6">
        <v>4.29</v>
      </c>
      <c r="O542" s="7" t="s">
        <v>45</v>
      </c>
      <c r="P542" s="7" t="s">
        <v>46</v>
      </c>
      <c r="Q542" s="7" t="s">
        <v>25</v>
      </c>
      <c r="R542" s="10">
        <v>3556.84</v>
      </c>
      <c r="S542" s="10">
        <v>-770.16</v>
      </c>
      <c r="T542" s="9" t="s">
        <v>29</v>
      </c>
      <c r="U542" s="9"/>
      <c r="V542" s="9"/>
      <c r="W542" s="9"/>
      <c r="X542" s="9"/>
      <c r="Y542" s="9"/>
      <c r="Z542" s="9"/>
      <c r="AA542" s="9"/>
      <c r="AB542" s="9"/>
    </row>
    <row r="543">
      <c r="A543" s="5">
        <v>42179.0</v>
      </c>
      <c r="B543" s="6">
        <v>2015.0</v>
      </c>
      <c r="C543" s="7" t="s">
        <v>75</v>
      </c>
      <c r="D543" s="7" t="s">
        <v>62</v>
      </c>
      <c r="E543" s="7" t="s">
        <v>32</v>
      </c>
      <c r="F543" s="6">
        <v>2822.0</v>
      </c>
      <c r="G543" s="6">
        <v>106613.43</v>
      </c>
      <c r="H543" s="6">
        <v>37.78</v>
      </c>
      <c r="I543" s="8">
        <v>40.19435506732814</v>
      </c>
      <c r="J543" s="6">
        <v>113428.47</v>
      </c>
      <c r="K543" s="6">
        <v>-6815.04</v>
      </c>
      <c r="L543" s="6">
        <v>-6.39</v>
      </c>
      <c r="M543" s="6">
        <f t="shared" si="1"/>
        <v>-2.414968108</v>
      </c>
      <c r="N543" s="6">
        <v>-6.39</v>
      </c>
      <c r="O543" s="7" t="s">
        <v>45</v>
      </c>
      <c r="P543" s="7" t="s">
        <v>46</v>
      </c>
      <c r="Q543" s="7" t="s">
        <v>25</v>
      </c>
      <c r="R543" s="10">
        <v>2786.68</v>
      </c>
      <c r="S543" s="10">
        <v>-9601.73</v>
      </c>
      <c r="T543" s="9" t="s">
        <v>29</v>
      </c>
      <c r="U543" s="9"/>
      <c r="V543" s="9"/>
      <c r="W543" s="9"/>
      <c r="X543" s="9"/>
      <c r="Y543" s="9"/>
      <c r="Z543" s="9"/>
      <c r="AA543" s="9"/>
      <c r="AB543" s="9"/>
    </row>
    <row r="544">
      <c r="A544" s="5">
        <v>42180.0</v>
      </c>
      <c r="B544" s="6">
        <v>2015.0</v>
      </c>
      <c r="C544" s="7" t="s">
        <v>75</v>
      </c>
      <c r="D544" s="7" t="s">
        <v>63</v>
      </c>
      <c r="E544" s="7" t="s">
        <v>35</v>
      </c>
      <c r="F544" s="6">
        <v>4865.0</v>
      </c>
      <c r="G544" s="6">
        <v>183843.82</v>
      </c>
      <c r="H544" s="6">
        <v>37.79</v>
      </c>
      <c r="I544" s="8">
        <v>40.15739568345324</v>
      </c>
      <c r="J544" s="6">
        <v>195365.73</v>
      </c>
      <c r="K544" s="6">
        <v>-11521.91</v>
      </c>
      <c r="L544" s="6">
        <v>-6.27</v>
      </c>
      <c r="M544" s="6">
        <f t="shared" si="1"/>
        <v>-2.368326824</v>
      </c>
      <c r="N544" s="6">
        <v>-6.27</v>
      </c>
      <c r="O544" s="7" t="s">
        <v>45</v>
      </c>
      <c r="P544" s="7" t="s">
        <v>46</v>
      </c>
      <c r="Q544" s="7" t="s">
        <v>25</v>
      </c>
      <c r="R544" s="10">
        <v>-6815.04</v>
      </c>
      <c r="S544" s="10">
        <v>-4706.87</v>
      </c>
      <c r="T544" s="9" t="s">
        <v>29</v>
      </c>
      <c r="U544" s="9"/>
      <c r="V544" s="9"/>
      <c r="W544" s="9"/>
      <c r="X544" s="9"/>
      <c r="Y544" s="9"/>
      <c r="Z544" s="9"/>
      <c r="AA544" s="9"/>
      <c r="AB544" s="9"/>
    </row>
    <row r="545">
      <c r="A545" s="5">
        <v>42181.0</v>
      </c>
      <c r="B545" s="6">
        <v>2015.0</v>
      </c>
      <c r="C545" s="7" t="s">
        <v>75</v>
      </c>
      <c r="D545" s="7" t="s">
        <v>64</v>
      </c>
      <c r="E545" s="7" t="s">
        <v>37</v>
      </c>
      <c r="F545" s="6">
        <v>8450.0</v>
      </c>
      <c r="G545" s="6">
        <v>319579.79</v>
      </c>
      <c r="H545" s="6">
        <v>37.82</v>
      </c>
      <c r="I545" s="8">
        <v>40.14694556213018</v>
      </c>
      <c r="J545" s="6">
        <v>339241.69</v>
      </c>
      <c r="K545" s="6">
        <v>-19661.9</v>
      </c>
      <c r="L545" s="6">
        <v>-6.15</v>
      </c>
      <c r="M545" s="6">
        <f t="shared" si="1"/>
        <v>-2.326852071</v>
      </c>
      <c r="N545" s="6">
        <v>-6.15</v>
      </c>
      <c r="O545" s="7" t="s">
        <v>45</v>
      </c>
      <c r="P545" s="7" t="s">
        <v>46</v>
      </c>
      <c r="Q545" s="7" t="s">
        <v>25</v>
      </c>
      <c r="R545" s="10">
        <v>-11521.91</v>
      </c>
      <c r="S545" s="10">
        <v>-8139.98</v>
      </c>
      <c r="T545" s="9" t="s">
        <v>29</v>
      </c>
      <c r="U545" s="9"/>
      <c r="V545" s="9"/>
      <c r="W545" s="9"/>
      <c r="X545" s="9"/>
      <c r="Y545" s="9"/>
      <c r="Z545" s="9"/>
      <c r="AA545" s="9"/>
      <c r="AB545" s="9"/>
    </row>
    <row r="546">
      <c r="A546" s="5">
        <v>42182.0</v>
      </c>
      <c r="B546" s="6">
        <v>2015.0</v>
      </c>
      <c r="C546" s="7" t="s">
        <v>75</v>
      </c>
      <c r="D546" s="7" t="s">
        <v>65</v>
      </c>
      <c r="E546" s="7" t="s">
        <v>39</v>
      </c>
      <c r="F546" s="6">
        <v>9770.0</v>
      </c>
      <c r="G546" s="6">
        <v>369245.76</v>
      </c>
      <c r="H546" s="6">
        <v>37.79</v>
      </c>
      <c r="I546" s="8">
        <v>40.12466427840327</v>
      </c>
      <c r="J546" s="6">
        <v>392017.97</v>
      </c>
      <c r="K546" s="6">
        <v>-22772.21</v>
      </c>
      <c r="L546" s="6">
        <v>-6.17</v>
      </c>
      <c r="M546" s="6">
        <f t="shared" si="1"/>
        <v>-2.330830092</v>
      </c>
      <c r="N546" s="6">
        <v>-6.17</v>
      </c>
      <c r="O546" s="7" t="s">
        <v>45</v>
      </c>
      <c r="P546" s="7" t="s">
        <v>46</v>
      </c>
      <c r="Q546" s="7" t="s">
        <v>25</v>
      </c>
      <c r="R546" s="10">
        <v>-19661.9</v>
      </c>
      <c r="S546" s="10">
        <v>-3110.32</v>
      </c>
      <c r="T546" s="9" t="s">
        <v>29</v>
      </c>
      <c r="U546" s="9"/>
      <c r="V546" s="9"/>
      <c r="W546" s="9"/>
      <c r="X546" s="9"/>
      <c r="Y546" s="9"/>
      <c r="Z546" s="9"/>
      <c r="AA546" s="9"/>
      <c r="AB546" s="9"/>
    </row>
    <row r="547">
      <c r="A547" s="5">
        <v>42183.0</v>
      </c>
      <c r="B547" s="6">
        <v>2015.0</v>
      </c>
      <c r="C547" s="7" t="s">
        <v>75</v>
      </c>
      <c r="D547" s="7" t="s">
        <v>66</v>
      </c>
      <c r="E547" s="7" t="s">
        <v>41</v>
      </c>
      <c r="F547" s="6">
        <v>4914.0</v>
      </c>
      <c r="G547" s="6">
        <v>185648.49</v>
      </c>
      <c r="H547" s="6">
        <v>37.78</v>
      </c>
      <c r="I547" s="8">
        <v>40.10889499389499</v>
      </c>
      <c r="J547" s="6">
        <v>197095.11</v>
      </c>
      <c r="K547" s="6">
        <v>-11446.62</v>
      </c>
      <c r="L547" s="6">
        <v>-6.17</v>
      </c>
      <c r="M547" s="6">
        <f t="shared" si="1"/>
        <v>-2.329389499</v>
      </c>
      <c r="N547" s="6">
        <v>-6.17</v>
      </c>
      <c r="O547" s="7" t="s">
        <v>45</v>
      </c>
      <c r="P547" s="7" t="s">
        <v>46</v>
      </c>
      <c r="Q547" s="7" t="s">
        <v>25</v>
      </c>
      <c r="R547" s="10">
        <v>-22772.21</v>
      </c>
      <c r="S547" s="10">
        <v>11325.6</v>
      </c>
      <c r="T547" s="9" t="s">
        <v>33</v>
      </c>
      <c r="U547" s="9"/>
      <c r="V547" s="9"/>
      <c r="W547" s="9"/>
      <c r="X547" s="9"/>
      <c r="Y547" s="9"/>
      <c r="Z547" s="9"/>
      <c r="AA547" s="9"/>
      <c r="AB547" s="9"/>
    </row>
    <row r="548">
      <c r="A548" s="5">
        <v>42184.0</v>
      </c>
      <c r="B548" s="6">
        <v>2015.0</v>
      </c>
      <c r="C548" s="7" t="s">
        <v>75</v>
      </c>
      <c r="D548" s="7" t="s">
        <v>67</v>
      </c>
      <c r="E548" s="7" t="s">
        <v>22</v>
      </c>
      <c r="F548" s="6">
        <v>4385.0</v>
      </c>
      <c r="G548" s="6">
        <v>165557.76</v>
      </c>
      <c r="H548" s="6">
        <v>37.76</v>
      </c>
      <c r="I548" s="8">
        <v>40.10743671607754</v>
      </c>
      <c r="J548" s="6">
        <v>175871.11</v>
      </c>
      <c r="K548" s="6">
        <v>-10313.35</v>
      </c>
      <c r="L548" s="6">
        <v>-6.23</v>
      </c>
      <c r="M548" s="6">
        <f t="shared" si="1"/>
        <v>-2.351961231</v>
      </c>
      <c r="N548" s="6">
        <v>-6.23</v>
      </c>
      <c r="O548" s="7" t="s">
        <v>45</v>
      </c>
      <c r="P548" s="7" t="s">
        <v>46</v>
      </c>
      <c r="Q548" s="7" t="s">
        <v>25</v>
      </c>
      <c r="R548" s="10">
        <v>-11446.62</v>
      </c>
      <c r="S548" s="10">
        <v>1133.27</v>
      </c>
      <c r="T548" s="9" t="s">
        <v>33</v>
      </c>
      <c r="U548" s="9"/>
      <c r="V548" s="9"/>
      <c r="W548" s="9"/>
      <c r="X548" s="9"/>
      <c r="Y548" s="9"/>
      <c r="Z548" s="9"/>
      <c r="AA548" s="9"/>
      <c r="AB548" s="9"/>
    </row>
    <row r="549">
      <c r="A549" s="5">
        <v>42185.0</v>
      </c>
      <c r="B549" s="6">
        <v>2015.0</v>
      </c>
      <c r="C549" s="7" t="s">
        <v>75</v>
      </c>
      <c r="D549" s="7" t="s">
        <v>21</v>
      </c>
      <c r="E549" s="7" t="s">
        <v>28</v>
      </c>
      <c r="F549" s="6">
        <v>5627.0</v>
      </c>
      <c r="G549" s="6">
        <v>212465.08</v>
      </c>
      <c r="H549" s="6">
        <v>37.76</v>
      </c>
      <c r="I549" s="8">
        <v>40.10643859960903</v>
      </c>
      <c r="J549" s="6">
        <v>225678.93</v>
      </c>
      <c r="K549" s="6">
        <v>-13213.85</v>
      </c>
      <c r="L549" s="6">
        <v>-6.22</v>
      </c>
      <c r="M549" s="6">
        <f t="shared" si="1"/>
        <v>-2.34829394</v>
      </c>
      <c r="N549" s="6">
        <v>-6.22</v>
      </c>
      <c r="O549" s="7" t="s">
        <v>45</v>
      </c>
      <c r="P549" s="7" t="s">
        <v>46</v>
      </c>
      <c r="Q549" s="7" t="s">
        <v>25</v>
      </c>
      <c r="R549" s="10">
        <v>-10313.35</v>
      </c>
      <c r="S549" s="10">
        <v>-2900.5</v>
      </c>
      <c r="T549" s="9" t="s">
        <v>29</v>
      </c>
      <c r="U549" s="9"/>
      <c r="V549" s="9"/>
      <c r="W549" s="9"/>
      <c r="X549" s="9"/>
      <c r="Y549" s="9"/>
      <c r="Z549" s="9"/>
      <c r="AA549" s="9"/>
      <c r="AB549" s="9"/>
    </row>
    <row r="550">
      <c r="A550" s="5">
        <v>42186.0</v>
      </c>
      <c r="B550" s="6">
        <v>2015.0</v>
      </c>
      <c r="C550" s="7" t="s">
        <v>76</v>
      </c>
      <c r="D550" s="7" t="s">
        <v>31</v>
      </c>
      <c r="E550" s="7" t="s">
        <v>32</v>
      </c>
      <c r="F550" s="6">
        <v>8086.0</v>
      </c>
      <c r="G550" s="6">
        <v>305231.91</v>
      </c>
      <c r="H550" s="6">
        <v>37.75</v>
      </c>
      <c r="I550" s="8">
        <v>40.10002968093001</v>
      </c>
      <c r="J550" s="6">
        <v>324248.84</v>
      </c>
      <c r="K550" s="6">
        <v>-19016.93</v>
      </c>
      <c r="L550" s="6">
        <v>-6.23</v>
      </c>
      <c r="M550" s="6">
        <f t="shared" si="1"/>
        <v>-2.351834034</v>
      </c>
      <c r="N550" s="6">
        <v>-6.23</v>
      </c>
      <c r="O550" s="7" t="s">
        <v>45</v>
      </c>
      <c r="P550" s="7" t="s">
        <v>46</v>
      </c>
      <c r="Q550" s="7" t="s">
        <v>25</v>
      </c>
      <c r="R550" s="10">
        <v>-13213.85</v>
      </c>
      <c r="S550" s="10">
        <v>-5803.08</v>
      </c>
      <c r="T550" s="9" t="s">
        <v>29</v>
      </c>
      <c r="U550" s="9"/>
      <c r="V550" s="9"/>
      <c r="W550" s="9"/>
      <c r="X550" s="9"/>
      <c r="Y550" s="9"/>
      <c r="Z550" s="9"/>
      <c r="AA550" s="9"/>
      <c r="AB550" s="9"/>
    </row>
    <row r="551">
      <c r="A551" s="5">
        <v>42187.0</v>
      </c>
      <c r="B551" s="6">
        <v>2015.0</v>
      </c>
      <c r="C551" s="7" t="s">
        <v>76</v>
      </c>
      <c r="D551" s="7" t="s">
        <v>34</v>
      </c>
      <c r="E551" s="7" t="s">
        <v>35</v>
      </c>
      <c r="F551" s="6">
        <v>6639.0</v>
      </c>
      <c r="G551" s="6">
        <v>250481.62</v>
      </c>
      <c r="H551" s="6">
        <v>37.73</v>
      </c>
      <c r="I551" s="8">
        <v>40.07560325350203</v>
      </c>
      <c r="J551" s="6">
        <v>266061.93</v>
      </c>
      <c r="K551" s="6">
        <v>-15580.31</v>
      </c>
      <c r="L551" s="6">
        <v>-6.22</v>
      </c>
      <c r="M551" s="6">
        <f t="shared" si="1"/>
        <v>-2.34678566</v>
      </c>
      <c r="N551" s="6">
        <v>-6.22</v>
      </c>
      <c r="O551" s="7" t="s">
        <v>45</v>
      </c>
      <c r="P551" s="7" t="s">
        <v>46</v>
      </c>
      <c r="Q551" s="7" t="s">
        <v>25</v>
      </c>
      <c r="R551" s="10">
        <v>-19016.93</v>
      </c>
      <c r="S551" s="10">
        <v>3436.62</v>
      </c>
      <c r="T551" s="9" t="s">
        <v>33</v>
      </c>
      <c r="U551" s="9"/>
      <c r="V551" s="9"/>
      <c r="W551" s="9"/>
      <c r="X551" s="9"/>
      <c r="Y551" s="9"/>
      <c r="Z551" s="9"/>
      <c r="AA551" s="9"/>
      <c r="AB551" s="9"/>
    </row>
    <row r="552">
      <c r="A552" s="5">
        <v>42188.0</v>
      </c>
      <c r="B552" s="6">
        <v>2015.0</v>
      </c>
      <c r="C552" s="7" t="s">
        <v>76</v>
      </c>
      <c r="D552" s="7" t="s">
        <v>36</v>
      </c>
      <c r="E552" s="7" t="s">
        <v>37</v>
      </c>
      <c r="F552" s="6">
        <v>7104.0</v>
      </c>
      <c r="G552" s="6">
        <v>268410.48</v>
      </c>
      <c r="H552" s="6">
        <v>37.78</v>
      </c>
      <c r="I552" s="8">
        <v>40.060950168918914</v>
      </c>
      <c r="J552" s="6">
        <v>284592.99</v>
      </c>
      <c r="K552" s="6">
        <v>-16182.51</v>
      </c>
      <c r="L552" s="6">
        <v>-6.03</v>
      </c>
      <c r="M552" s="6">
        <f t="shared" si="1"/>
        <v>-2.277943412</v>
      </c>
      <c r="N552" s="6">
        <v>-6.03</v>
      </c>
      <c r="O552" s="7" t="s">
        <v>45</v>
      </c>
      <c r="P552" s="7" t="s">
        <v>46</v>
      </c>
      <c r="Q552" s="7" t="s">
        <v>25</v>
      </c>
      <c r="R552" s="10">
        <v>-15580.31</v>
      </c>
      <c r="S552" s="10">
        <v>-602.2</v>
      </c>
      <c r="T552" s="9" t="s">
        <v>29</v>
      </c>
      <c r="U552" s="9"/>
      <c r="V552" s="9"/>
      <c r="W552" s="9"/>
      <c r="X552" s="9"/>
      <c r="Y552" s="9"/>
      <c r="Z552" s="9"/>
      <c r="AA552" s="9"/>
      <c r="AB552" s="9"/>
    </row>
    <row r="553">
      <c r="A553" s="5">
        <v>42189.0</v>
      </c>
      <c r="B553" s="6">
        <v>2015.0</v>
      </c>
      <c r="C553" s="7" t="s">
        <v>76</v>
      </c>
      <c r="D553" s="7" t="s">
        <v>38</v>
      </c>
      <c r="E553" s="7" t="s">
        <v>39</v>
      </c>
      <c r="F553" s="6">
        <v>8364.0</v>
      </c>
      <c r="G553" s="6">
        <v>316365.5</v>
      </c>
      <c r="H553" s="6">
        <v>37.82</v>
      </c>
      <c r="I553" s="8">
        <v>40.055604973696795</v>
      </c>
      <c r="J553" s="6">
        <v>335025.08</v>
      </c>
      <c r="K553" s="6">
        <v>-18659.58</v>
      </c>
      <c r="L553" s="6">
        <v>-5.9</v>
      </c>
      <c r="M553" s="6">
        <f t="shared" si="1"/>
        <v>-2.230939742</v>
      </c>
      <c r="N553" s="6">
        <v>-5.9</v>
      </c>
      <c r="O553" s="7" t="s">
        <v>45</v>
      </c>
      <c r="P553" s="7" t="s">
        <v>46</v>
      </c>
      <c r="Q553" s="7" t="s">
        <v>25</v>
      </c>
      <c r="R553" s="10">
        <v>-16182.51</v>
      </c>
      <c r="S553" s="10">
        <v>-2477.06</v>
      </c>
      <c r="T553" s="9" t="s">
        <v>29</v>
      </c>
      <c r="U553" s="9"/>
      <c r="V553" s="9"/>
      <c r="W553" s="9"/>
      <c r="X553" s="9"/>
      <c r="Y553" s="9"/>
      <c r="Z553" s="9"/>
      <c r="AA553" s="9"/>
      <c r="AB553" s="9"/>
    </row>
    <row r="554">
      <c r="A554" s="5">
        <v>42190.0</v>
      </c>
      <c r="B554" s="6">
        <v>2015.0</v>
      </c>
      <c r="C554" s="7" t="s">
        <v>76</v>
      </c>
      <c r="D554" s="7" t="s">
        <v>40</v>
      </c>
      <c r="E554" s="7" t="s">
        <v>41</v>
      </c>
      <c r="F554" s="6">
        <v>4146.0</v>
      </c>
      <c r="G554" s="6">
        <v>156873.04</v>
      </c>
      <c r="H554" s="6">
        <v>37.84</v>
      </c>
      <c r="I554" s="8">
        <v>40.03102267245538</v>
      </c>
      <c r="J554" s="6">
        <v>165968.62</v>
      </c>
      <c r="K554" s="6">
        <v>-9095.58</v>
      </c>
      <c r="L554" s="6">
        <v>-5.8</v>
      </c>
      <c r="M554" s="6">
        <f t="shared" si="1"/>
        <v>-2.19382055</v>
      </c>
      <c r="N554" s="6">
        <v>-5.8</v>
      </c>
      <c r="O554" s="7" t="s">
        <v>45</v>
      </c>
      <c r="P554" s="7" t="s">
        <v>46</v>
      </c>
      <c r="Q554" s="7" t="s">
        <v>25</v>
      </c>
      <c r="R554" s="10">
        <v>-18659.58</v>
      </c>
      <c r="S554" s="10">
        <v>9564.0</v>
      </c>
      <c r="T554" s="9" t="s">
        <v>33</v>
      </c>
      <c r="U554" s="9"/>
      <c r="V554" s="9"/>
      <c r="W554" s="9"/>
      <c r="X554" s="9"/>
      <c r="Y554" s="9"/>
      <c r="Z554" s="9"/>
      <c r="AA554" s="9"/>
      <c r="AB554" s="9"/>
    </row>
    <row r="555">
      <c r="A555" s="5">
        <v>42191.0</v>
      </c>
      <c r="B555" s="6">
        <v>2015.0</v>
      </c>
      <c r="C555" s="7" t="s">
        <v>76</v>
      </c>
      <c r="D555" s="7" t="s">
        <v>42</v>
      </c>
      <c r="E555" s="7" t="s">
        <v>22</v>
      </c>
      <c r="F555" s="6">
        <v>4601.0</v>
      </c>
      <c r="G555" s="6">
        <v>173987.75</v>
      </c>
      <c r="H555" s="6">
        <v>37.82</v>
      </c>
      <c r="I555" s="8">
        <v>40.03237991740926</v>
      </c>
      <c r="J555" s="6">
        <v>184188.98</v>
      </c>
      <c r="K555" s="6">
        <v>-10201.23</v>
      </c>
      <c r="L555" s="6">
        <v>-5.86</v>
      </c>
      <c r="M555" s="6">
        <f t="shared" si="1"/>
        <v>-2.217176701</v>
      </c>
      <c r="N555" s="6">
        <v>-5.86</v>
      </c>
      <c r="O555" s="7" t="s">
        <v>45</v>
      </c>
      <c r="P555" s="7" t="s">
        <v>46</v>
      </c>
      <c r="Q555" s="7" t="s">
        <v>25</v>
      </c>
      <c r="R555" s="10">
        <v>-9095.58</v>
      </c>
      <c r="S555" s="10">
        <v>-1105.65</v>
      </c>
      <c r="T555" s="9" t="s">
        <v>29</v>
      </c>
      <c r="U555" s="9"/>
      <c r="V555" s="9"/>
      <c r="W555" s="9"/>
      <c r="X555" s="9"/>
      <c r="Y555" s="9"/>
      <c r="Z555" s="9"/>
      <c r="AA555" s="9"/>
      <c r="AB555" s="9"/>
    </row>
    <row r="556">
      <c r="A556" s="5">
        <v>42192.0</v>
      </c>
      <c r="B556" s="6">
        <v>2015.0</v>
      </c>
      <c r="C556" s="7" t="s">
        <v>76</v>
      </c>
      <c r="D556" s="7" t="s">
        <v>43</v>
      </c>
      <c r="E556" s="7" t="s">
        <v>28</v>
      </c>
      <c r="F556" s="6">
        <v>3593.0</v>
      </c>
      <c r="G556" s="6">
        <v>135753.77</v>
      </c>
      <c r="H556" s="6">
        <v>37.78</v>
      </c>
      <c r="I556" s="8">
        <v>40.02215418870025</v>
      </c>
      <c r="J556" s="6">
        <v>143799.6</v>
      </c>
      <c r="K556" s="6">
        <v>-8045.83</v>
      </c>
      <c r="L556" s="6">
        <v>-5.93</v>
      </c>
      <c r="M556" s="6">
        <f t="shared" si="1"/>
        <v>-2.239306986</v>
      </c>
      <c r="N556" s="6">
        <v>-5.93</v>
      </c>
      <c r="O556" s="7" t="s">
        <v>45</v>
      </c>
      <c r="P556" s="7" t="s">
        <v>46</v>
      </c>
      <c r="Q556" s="7" t="s">
        <v>25</v>
      </c>
      <c r="R556" s="10">
        <v>-10201.23</v>
      </c>
      <c r="S556" s="10">
        <v>2155.39</v>
      </c>
      <c r="T556" s="9" t="s">
        <v>33</v>
      </c>
      <c r="U556" s="9"/>
      <c r="V556" s="9"/>
      <c r="W556" s="9"/>
      <c r="X556" s="9"/>
      <c r="Y556" s="9"/>
      <c r="Z556" s="9"/>
      <c r="AA556" s="9"/>
      <c r="AB556" s="9"/>
    </row>
    <row r="557">
      <c r="A557" s="5">
        <v>42193.0</v>
      </c>
      <c r="B557" s="6">
        <v>2015.0</v>
      </c>
      <c r="C557" s="7" t="s">
        <v>76</v>
      </c>
      <c r="D557" s="7" t="s">
        <v>44</v>
      </c>
      <c r="E557" s="7" t="s">
        <v>32</v>
      </c>
      <c r="F557" s="6">
        <v>2114.0</v>
      </c>
      <c r="G557" s="6">
        <v>84426.51</v>
      </c>
      <c r="H557" s="6">
        <v>39.94</v>
      </c>
      <c r="I557" s="8">
        <v>40.01369914853359</v>
      </c>
      <c r="J557" s="6">
        <v>84588.96</v>
      </c>
      <c r="K557" s="6">
        <v>-162.45</v>
      </c>
      <c r="L557" s="6">
        <v>-0.19</v>
      </c>
      <c r="M557" s="6">
        <f t="shared" si="1"/>
        <v>-0.0768448439</v>
      </c>
      <c r="N557" s="6">
        <v>-0.19</v>
      </c>
      <c r="O557" s="7" t="s">
        <v>45</v>
      </c>
      <c r="P557" s="7" t="s">
        <v>46</v>
      </c>
      <c r="Q557" s="7" t="s">
        <v>25</v>
      </c>
      <c r="R557" s="10">
        <v>-8045.83</v>
      </c>
      <c r="S557" s="10">
        <v>7883.38</v>
      </c>
      <c r="T557" s="9" t="s">
        <v>33</v>
      </c>
      <c r="U557" s="9"/>
      <c r="V557" s="9"/>
      <c r="W557" s="9"/>
      <c r="X557" s="9"/>
      <c r="Y557" s="9"/>
      <c r="Z557" s="9"/>
      <c r="AA557" s="9"/>
      <c r="AB557" s="9"/>
    </row>
    <row r="558">
      <c r="A558" s="5">
        <v>42194.0</v>
      </c>
      <c r="B558" s="6">
        <v>2015.0</v>
      </c>
      <c r="C558" s="7" t="s">
        <v>76</v>
      </c>
      <c r="D558" s="7" t="s">
        <v>47</v>
      </c>
      <c r="E558" s="7" t="s">
        <v>35</v>
      </c>
      <c r="F558" s="6">
        <v>1797.0</v>
      </c>
      <c r="G558" s="6">
        <v>70815.19</v>
      </c>
      <c r="H558" s="6">
        <v>39.41</v>
      </c>
      <c r="I558" s="8">
        <v>40.018402893711745</v>
      </c>
      <c r="J558" s="6">
        <v>71913.07</v>
      </c>
      <c r="K558" s="6">
        <v>-1097.88</v>
      </c>
      <c r="L558" s="6">
        <v>-1.55</v>
      </c>
      <c r="M558" s="6">
        <f t="shared" si="1"/>
        <v>-0.610951586</v>
      </c>
      <c r="N558" s="6">
        <v>-1.55</v>
      </c>
      <c r="O558" s="7" t="s">
        <v>45</v>
      </c>
      <c r="P558" s="7" t="s">
        <v>46</v>
      </c>
      <c r="Q558" s="7" t="s">
        <v>25</v>
      </c>
      <c r="R558" s="10">
        <v>-162.45</v>
      </c>
      <c r="S558" s="10">
        <v>-935.42</v>
      </c>
      <c r="T558" s="9" t="s">
        <v>29</v>
      </c>
      <c r="U558" s="9"/>
      <c r="V558" s="9"/>
      <c r="W558" s="9"/>
      <c r="X558" s="9"/>
      <c r="Y558" s="9"/>
      <c r="Z558" s="9"/>
      <c r="AA558" s="9"/>
      <c r="AB558" s="9"/>
    </row>
    <row r="559">
      <c r="A559" s="5">
        <v>42195.0</v>
      </c>
      <c r="B559" s="6">
        <v>2015.0</v>
      </c>
      <c r="C559" s="7" t="s">
        <v>76</v>
      </c>
      <c r="D559" s="7" t="s">
        <v>48</v>
      </c>
      <c r="E559" s="7" t="s">
        <v>37</v>
      </c>
      <c r="F559" s="6">
        <v>3195.0</v>
      </c>
      <c r="G559" s="6">
        <v>125983.15</v>
      </c>
      <c r="H559" s="6">
        <v>39.43</v>
      </c>
      <c r="I559" s="8">
        <v>40.02647574334898</v>
      </c>
      <c r="J559" s="6">
        <v>127884.59</v>
      </c>
      <c r="K559" s="6">
        <v>-1901.44</v>
      </c>
      <c r="L559" s="6">
        <v>-1.51</v>
      </c>
      <c r="M559" s="6">
        <f t="shared" si="1"/>
        <v>-0.5951298905</v>
      </c>
      <c r="N559" s="6">
        <v>-1.51</v>
      </c>
      <c r="O559" s="7" t="s">
        <v>45</v>
      </c>
      <c r="P559" s="7" t="s">
        <v>46</v>
      </c>
      <c r="Q559" s="7" t="s">
        <v>25</v>
      </c>
      <c r="R559" s="10">
        <v>-1097.88</v>
      </c>
      <c r="S559" s="10">
        <v>-803.56</v>
      </c>
      <c r="T559" s="9" t="s">
        <v>29</v>
      </c>
      <c r="U559" s="9"/>
      <c r="V559" s="9"/>
      <c r="W559" s="9"/>
      <c r="X559" s="9"/>
      <c r="Y559" s="9"/>
      <c r="Z559" s="9"/>
      <c r="AA559" s="9"/>
      <c r="AB559" s="9"/>
    </row>
    <row r="560">
      <c r="A560" s="5">
        <v>42196.0</v>
      </c>
      <c r="B560" s="6">
        <v>2015.0</v>
      </c>
      <c r="C560" s="7" t="s">
        <v>76</v>
      </c>
      <c r="D560" s="7" t="s">
        <v>49</v>
      </c>
      <c r="E560" s="7" t="s">
        <v>39</v>
      </c>
      <c r="F560" s="6">
        <v>3595.0</v>
      </c>
      <c r="G560" s="6">
        <v>142378.18</v>
      </c>
      <c r="H560" s="6">
        <v>39.6</v>
      </c>
      <c r="I560" s="8">
        <v>40.034650904033384</v>
      </c>
      <c r="J560" s="6">
        <v>143924.57</v>
      </c>
      <c r="K560" s="6">
        <v>-1546.38</v>
      </c>
      <c r="L560" s="6">
        <v>-1.09</v>
      </c>
      <c r="M560" s="6">
        <f t="shared" si="1"/>
        <v>-0.430147427</v>
      </c>
      <c r="N560" s="6">
        <v>-1.09</v>
      </c>
      <c r="O560" s="7" t="s">
        <v>45</v>
      </c>
      <c r="P560" s="7" t="s">
        <v>46</v>
      </c>
      <c r="Q560" s="7" t="s">
        <v>25</v>
      </c>
      <c r="R560" s="10">
        <v>-1901.44</v>
      </c>
      <c r="S560" s="10">
        <v>355.05</v>
      </c>
      <c r="T560" s="9" t="s">
        <v>33</v>
      </c>
      <c r="U560" s="9"/>
      <c r="V560" s="9"/>
      <c r="W560" s="9"/>
      <c r="X560" s="9"/>
      <c r="Y560" s="9"/>
      <c r="Z560" s="9"/>
      <c r="AA560" s="9"/>
      <c r="AB560" s="9"/>
    </row>
    <row r="561">
      <c r="A561" s="5">
        <v>42197.0</v>
      </c>
      <c r="B561" s="6">
        <v>2015.0</v>
      </c>
      <c r="C561" s="7" t="s">
        <v>76</v>
      </c>
      <c r="D561" s="7" t="s">
        <v>50</v>
      </c>
      <c r="E561" s="7" t="s">
        <v>41</v>
      </c>
      <c r="F561" s="6">
        <v>1467.0</v>
      </c>
      <c r="G561" s="6">
        <v>57427.68</v>
      </c>
      <c r="H561" s="6">
        <v>39.15</v>
      </c>
      <c r="I561" s="8">
        <v>40.0293387866394</v>
      </c>
      <c r="J561" s="6">
        <v>58723.04</v>
      </c>
      <c r="K561" s="6">
        <v>-1295.36</v>
      </c>
      <c r="L561" s="6">
        <v>-2.26</v>
      </c>
      <c r="M561" s="6">
        <f t="shared" si="1"/>
        <v>-0.8829993183</v>
      </c>
      <c r="N561" s="6">
        <v>-2.26</v>
      </c>
      <c r="O561" s="7" t="s">
        <v>45</v>
      </c>
      <c r="P561" s="7" t="s">
        <v>46</v>
      </c>
      <c r="Q561" s="7" t="s">
        <v>25</v>
      </c>
      <c r="R561" s="10">
        <v>-1546.38</v>
      </c>
      <c r="S561" s="10">
        <v>251.02</v>
      </c>
      <c r="T561" s="9" t="s">
        <v>33</v>
      </c>
      <c r="U561" s="9"/>
      <c r="V561" s="9"/>
      <c r="W561" s="9"/>
      <c r="X561" s="9"/>
      <c r="Y561" s="9"/>
      <c r="Z561" s="9"/>
      <c r="AA561" s="9"/>
      <c r="AB561" s="9"/>
    </row>
    <row r="562">
      <c r="A562" s="5">
        <v>42198.0</v>
      </c>
      <c r="B562" s="6">
        <v>2015.0</v>
      </c>
      <c r="C562" s="7" t="s">
        <v>76</v>
      </c>
      <c r="D562" s="7" t="s">
        <v>51</v>
      </c>
      <c r="E562" s="7" t="s">
        <v>22</v>
      </c>
      <c r="F562" s="6">
        <v>1610.0</v>
      </c>
      <c r="G562" s="6">
        <v>63331.33</v>
      </c>
      <c r="H562" s="6">
        <v>39.34</v>
      </c>
      <c r="I562" s="8">
        <v>40.180161490683226</v>
      </c>
      <c r="J562" s="6">
        <v>64690.06</v>
      </c>
      <c r="K562" s="6">
        <v>-1358.73</v>
      </c>
      <c r="L562" s="6">
        <v>-2.15</v>
      </c>
      <c r="M562" s="6">
        <f t="shared" si="1"/>
        <v>-0.843931677</v>
      </c>
      <c r="N562" s="6">
        <v>-2.15</v>
      </c>
      <c r="O562" s="7" t="s">
        <v>45</v>
      </c>
      <c r="P562" s="7" t="s">
        <v>46</v>
      </c>
      <c r="Q562" s="7" t="s">
        <v>25</v>
      </c>
      <c r="R562" s="10">
        <v>-1295.36</v>
      </c>
      <c r="S562" s="10">
        <v>-63.37</v>
      </c>
      <c r="T562" s="9" t="s">
        <v>29</v>
      </c>
      <c r="U562" s="9"/>
      <c r="V562" s="9"/>
      <c r="W562" s="9"/>
      <c r="X562" s="9"/>
      <c r="Y562" s="9"/>
      <c r="Z562" s="9"/>
      <c r="AA562" s="9"/>
      <c r="AB562" s="9"/>
    </row>
    <row r="563">
      <c r="A563" s="5">
        <v>42199.0</v>
      </c>
      <c r="B563" s="6">
        <v>2015.0</v>
      </c>
      <c r="C563" s="7" t="s">
        <v>76</v>
      </c>
      <c r="D563" s="7" t="s">
        <v>52</v>
      </c>
      <c r="E563" s="7" t="s">
        <v>28</v>
      </c>
      <c r="F563" s="6">
        <v>1307.0</v>
      </c>
      <c r="G563" s="6">
        <v>51241.03</v>
      </c>
      <c r="H563" s="6">
        <v>39.21</v>
      </c>
      <c r="I563" s="8">
        <v>40.175914307574594</v>
      </c>
      <c r="J563" s="6">
        <v>52509.92</v>
      </c>
      <c r="K563" s="6">
        <v>-1268.89</v>
      </c>
      <c r="L563" s="6">
        <v>-2.48</v>
      </c>
      <c r="M563" s="6">
        <f t="shared" si="1"/>
        <v>-0.970841622</v>
      </c>
      <c r="N563" s="6">
        <v>-2.48</v>
      </c>
      <c r="O563" s="7" t="s">
        <v>45</v>
      </c>
      <c r="P563" s="7" t="s">
        <v>46</v>
      </c>
      <c r="Q563" s="7" t="s">
        <v>25</v>
      </c>
      <c r="R563" s="10">
        <v>-1358.73</v>
      </c>
      <c r="S563" s="10">
        <v>89.84</v>
      </c>
      <c r="T563" s="9" t="s">
        <v>33</v>
      </c>
      <c r="U563" s="9"/>
      <c r="V563" s="9"/>
      <c r="W563" s="9"/>
      <c r="X563" s="9"/>
      <c r="Y563" s="9"/>
      <c r="Z563" s="9"/>
      <c r="AA563" s="9"/>
      <c r="AB563" s="9"/>
    </row>
    <row r="564">
      <c r="A564" s="5">
        <v>42200.0</v>
      </c>
      <c r="B564" s="6">
        <v>2015.0</v>
      </c>
      <c r="C564" s="7" t="s">
        <v>76</v>
      </c>
      <c r="D564" s="7" t="s">
        <v>53</v>
      </c>
      <c r="E564" s="7" t="s">
        <v>32</v>
      </c>
      <c r="F564" s="6">
        <v>2050.0</v>
      </c>
      <c r="G564" s="6">
        <v>80326.44</v>
      </c>
      <c r="H564" s="6">
        <v>39.18</v>
      </c>
      <c r="I564" s="8">
        <v>39.8684243902439</v>
      </c>
      <c r="J564" s="6">
        <v>81730.27</v>
      </c>
      <c r="K564" s="6">
        <v>-1403.83</v>
      </c>
      <c r="L564" s="6">
        <v>-1.75</v>
      </c>
      <c r="M564" s="6">
        <f t="shared" si="1"/>
        <v>-0.684795122</v>
      </c>
      <c r="N564" s="6">
        <v>-1.75</v>
      </c>
      <c r="O564" s="7" t="s">
        <v>45</v>
      </c>
      <c r="P564" s="7" t="s">
        <v>46</v>
      </c>
      <c r="Q564" s="7" t="s">
        <v>25</v>
      </c>
      <c r="R564" s="10">
        <v>-1268.89</v>
      </c>
      <c r="S564" s="10">
        <v>-134.94</v>
      </c>
      <c r="T564" s="9" t="s">
        <v>29</v>
      </c>
      <c r="U564" s="9"/>
      <c r="V564" s="9"/>
      <c r="W564" s="9"/>
      <c r="X564" s="9"/>
      <c r="Y564" s="9"/>
      <c r="Z564" s="9"/>
      <c r="AA564" s="9"/>
      <c r="AB564" s="9"/>
    </row>
    <row r="565">
      <c r="A565" s="5">
        <v>42201.0</v>
      </c>
      <c r="B565" s="6">
        <v>2015.0</v>
      </c>
      <c r="C565" s="7" t="s">
        <v>76</v>
      </c>
      <c r="D565" s="7" t="s">
        <v>54</v>
      </c>
      <c r="E565" s="7" t="s">
        <v>35</v>
      </c>
      <c r="F565" s="6">
        <v>1849.0</v>
      </c>
      <c r="G565" s="6">
        <v>71912.57</v>
      </c>
      <c r="H565" s="6">
        <v>38.89</v>
      </c>
      <c r="I565" s="8">
        <v>39.89325581395349</v>
      </c>
      <c r="J565" s="6">
        <v>73762.63</v>
      </c>
      <c r="K565" s="6">
        <v>-1850.06</v>
      </c>
      <c r="L565" s="6">
        <v>-2.57</v>
      </c>
      <c r="M565" s="6">
        <f t="shared" si="1"/>
        <v>-1.000573283</v>
      </c>
      <c r="N565" s="6">
        <v>-2.57</v>
      </c>
      <c r="O565" s="7" t="s">
        <v>45</v>
      </c>
      <c r="P565" s="7" t="s">
        <v>46</v>
      </c>
      <c r="Q565" s="7" t="s">
        <v>25</v>
      </c>
      <c r="R565" s="10">
        <v>-1403.83</v>
      </c>
      <c r="S565" s="10">
        <v>-446.23</v>
      </c>
      <c r="T565" s="9" t="s">
        <v>29</v>
      </c>
      <c r="U565" s="9"/>
      <c r="V565" s="9"/>
      <c r="W565" s="9"/>
      <c r="X565" s="9"/>
      <c r="Y565" s="9"/>
      <c r="Z565" s="9"/>
      <c r="AA565" s="9"/>
      <c r="AB565" s="9"/>
    </row>
    <row r="566">
      <c r="A566" s="5">
        <v>42202.0</v>
      </c>
      <c r="B566" s="6">
        <v>2015.0</v>
      </c>
      <c r="C566" s="7" t="s">
        <v>76</v>
      </c>
      <c r="D566" s="7" t="s">
        <v>55</v>
      </c>
      <c r="E566" s="7" t="s">
        <v>37</v>
      </c>
      <c r="F566" s="6">
        <v>3070.0</v>
      </c>
      <c r="G566" s="6">
        <v>119204.31</v>
      </c>
      <c r="H566" s="6">
        <v>38.83</v>
      </c>
      <c r="I566" s="8">
        <v>39.95755700325733</v>
      </c>
      <c r="J566" s="6">
        <v>122669.7</v>
      </c>
      <c r="K566" s="6">
        <v>-3465.39</v>
      </c>
      <c r="L566" s="6">
        <v>-2.91</v>
      </c>
      <c r="M566" s="6">
        <f t="shared" si="1"/>
        <v>-1.128791531</v>
      </c>
      <c r="N566" s="6">
        <v>-2.91</v>
      </c>
      <c r="O566" s="7" t="s">
        <v>45</v>
      </c>
      <c r="P566" s="7" t="s">
        <v>46</v>
      </c>
      <c r="Q566" s="7" t="s">
        <v>25</v>
      </c>
      <c r="R566" s="10">
        <v>-1850.06</v>
      </c>
      <c r="S566" s="10">
        <v>-1615.33</v>
      </c>
      <c r="T566" s="9" t="s">
        <v>29</v>
      </c>
      <c r="U566" s="9"/>
      <c r="V566" s="9"/>
      <c r="W566" s="9"/>
      <c r="X566" s="9"/>
      <c r="Y566" s="9"/>
      <c r="Z566" s="9"/>
      <c r="AA566" s="9"/>
      <c r="AB566" s="9"/>
    </row>
    <row r="567">
      <c r="A567" s="5">
        <v>42203.0</v>
      </c>
      <c r="B567" s="6">
        <v>2015.0</v>
      </c>
      <c r="C567" s="7" t="s">
        <v>76</v>
      </c>
      <c r="D567" s="7" t="s">
        <v>56</v>
      </c>
      <c r="E567" s="7" t="s">
        <v>39</v>
      </c>
      <c r="F567" s="6">
        <v>3322.0</v>
      </c>
      <c r="G567" s="6">
        <v>129441.28</v>
      </c>
      <c r="H567" s="6">
        <v>38.96</v>
      </c>
      <c r="I567" s="8">
        <v>39.883633353401564</v>
      </c>
      <c r="J567" s="6">
        <v>132493.43</v>
      </c>
      <c r="K567" s="6">
        <v>-3052.15</v>
      </c>
      <c r="L567" s="6">
        <v>-2.36</v>
      </c>
      <c r="M567" s="6">
        <f t="shared" si="1"/>
        <v>-0.918768814</v>
      </c>
      <c r="N567" s="6">
        <v>-2.36</v>
      </c>
      <c r="O567" s="7" t="s">
        <v>45</v>
      </c>
      <c r="P567" s="7" t="s">
        <v>46</v>
      </c>
      <c r="Q567" s="7" t="s">
        <v>25</v>
      </c>
      <c r="R567" s="10">
        <v>-3465.39</v>
      </c>
      <c r="S567" s="10">
        <v>413.24</v>
      </c>
      <c r="T567" s="9" t="s">
        <v>33</v>
      </c>
      <c r="U567" s="9"/>
      <c r="V567" s="9"/>
      <c r="W567" s="9"/>
      <c r="X567" s="9"/>
      <c r="Y567" s="9"/>
      <c r="Z567" s="9"/>
      <c r="AA567" s="9"/>
      <c r="AB567" s="9"/>
    </row>
    <row r="568">
      <c r="A568" s="5">
        <v>42204.0</v>
      </c>
      <c r="B568" s="6">
        <v>2015.0</v>
      </c>
      <c r="C568" s="7" t="s">
        <v>76</v>
      </c>
      <c r="D568" s="7" t="s">
        <v>57</v>
      </c>
      <c r="E568" s="7" t="s">
        <v>41</v>
      </c>
      <c r="F568" s="6">
        <v>1982.0</v>
      </c>
      <c r="G568" s="6">
        <v>77645.75</v>
      </c>
      <c r="H568" s="6">
        <v>39.18</v>
      </c>
      <c r="I568" s="8">
        <v>40.13906659939455</v>
      </c>
      <c r="J568" s="6">
        <v>79555.63</v>
      </c>
      <c r="K568" s="6">
        <v>-1909.88</v>
      </c>
      <c r="L568" s="6">
        <v>-2.46</v>
      </c>
      <c r="M568" s="6">
        <f t="shared" si="1"/>
        <v>-0.9636125126</v>
      </c>
      <c r="N568" s="6">
        <v>-2.46</v>
      </c>
      <c r="O568" s="7" t="s">
        <v>45</v>
      </c>
      <c r="P568" s="7" t="s">
        <v>46</v>
      </c>
      <c r="Q568" s="7" t="s">
        <v>25</v>
      </c>
      <c r="R568" s="10">
        <v>-3052.15</v>
      </c>
      <c r="S568" s="10">
        <v>1142.27</v>
      </c>
      <c r="T568" s="9" t="s">
        <v>33</v>
      </c>
      <c r="U568" s="9"/>
      <c r="V568" s="9"/>
      <c r="W568" s="9"/>
      <c r="X568" s="9"/>
      <c r="Y568" s="9"/>
      <c r="Z568" s="9"/>
      <c r="AA568" s="9"/>
      <c r="AB568" s="9"/>
    </row>
    <row r="569">
      <c r="A569" s="5">
        <v>42205.0</v>
      </c>
      <c r="B569" s="6">
        <v>2015.0</v>
      </c>
      <c r="C569" s="7" t="s">
        <v>76</v>
      </c>
      <c r="D569" s="7" t="s">
        <v>58</v>
      </c>
      <c r="E569" s="7" t="s">
        <v>22</v>
      </c>
      <c r="F569" s="6">
        <v>1787.0</v>
      </c>
      <c r="G569" s="6">
        <v>69926.65</v>
      </c>
      <c r="H569" s="6">
        <v>39.13</v>
      </c>
      <c r="I569" s="8">
        <v>39.934258533855626</v>
      </c>
      <c r="J569" s="6">
        <v>71362.52</v>
      </c>
      <c r="K569" s="6">
        <v>-1435.87</v>
      </c>
      <c r="L569" s="6">
        <v>-2.05</v>
      </c>
      <c r="M569" s="6">
        <f t="shared" si="1"/>
        <v>-0.8035086738</v>
      </c>
      <c r="N569" s="6">
        <v>-2.05</v>
      </c>
      <c r="O569" s="7" t="s">
        <v>45</v>
      </c>
      <c r="P569" s="7" t="s">
        <v>46</v>
      </c>
      <c r="Q569" s="7" t="s">
        <v>25</v>
      </c>
      <c r="R569" s="10">
        <v>-1909.88</v>
      </c>
      <c r="S569" s="10">
        <v>474.02</v>
      </c>
      <c r="T569" s="9" t="s">
        <v>33</v>
      </c>
      <c r="U569" s="9"/>
      <c r="V569" s="9"/>
      <c r="W569" s="9"/>
      <c r="X569" s="9"/>
      <c r="Y569" s="9"/>
      <c r="Z569" s="9"/>
      <c r="AA569" s="9"/>
      <c r="AB569" s="9"/>
    </row>
    <row r="570">
      <c r="A570" s="5">
        <v>42206.0</v>
      </c>
      <c r="B570" s="6">
        <v>2015.0</v>
      </c>
      <c r="C570" s="7" t="s">
        <v>76</v>
      </c>
      <c r="D570" s="7" t="s">
        <v>59</v>
      </c>
      <c r="E570" s="7" t="s">
        <v>28</v>
      </c>
      <c r="F570" s="6">
        <v>1846.0</v>
      </c>
      <c r="G570" s="6">
        <v>71973.04</v>
      </c>
      <c r="H570" s="6">
        <v>38.99</v>
      </c>
      <c r="I570" s="8">
        <v>40.00638678223185</v>
      </c>
      <c r="J570" s="6">
        <v>73851.79</v>
      </c>
      <c r="K570" s="6">
        <v>-1878.74</v>
      </c>
      <c r="L570" s="6">
        <v>-2.61</v>
      </c>
      <c r="M570" s="6">
        <f t="shared" si="1"/>
        <v>-1.017735645</v>
      </c>
      <c r="N570" s="6">
        <v>-2.61</v>
      </c>
      <c r="O570" s="7" t="s">
        <v>45</v>
      </c>
      <c r="P570" s="7" t="s">
        <v>46</v>
      </c>
      <c r="Q570" s="7" t="s">
        <v>25</v>
      </c>
      <c r="R570" s="10">
        <v>-1435.87</v>
      </c>
      <c r="S570" s="10">
        <v>-442.88</v>
      </c>
      <c r="T570" s="9" t="s">
        <v>29</v>
      </c>
      <c r="U570" s="9"/>
      <c r="V570" s="9"/>
      <c r="W570" s="9"/>
      <c r="X570" s="9"/>
      <c r="Y570" s="9"/>
      <c r="Z570" s="9"/>
      <c r="AA570" s="9"/>
      <c r="AB570" s="9"/>
    </row>
    <row r="571">
      <c r="A571" s="5">
        <v>42207.0</v>
      </c>
      <c r="B571" s="6">
        <v>2015.0</v>
      </c>
      <c r="C571" s="7" t="s">
        <v>76</v>
      </c>
      <c r="D571" s="7" t="s">
        <v>60</v>
      </c>
      <c r="E571" s="7" t="s">
        <v>32</v>
      </c>
      <c r="F571" s="6">
        <v>1142.0</v>
      </c>
      <c r="G571" s="6">
        <v>44304.9</v>
      </c>
      <c r="H571" s="6">
        <v>38.8</v>
      </c>
      <c r="I571" s="8">
        <v>39.81509632224168</v>
      </c>
      <c r="J571" s="6">
        <v>45468.84</v>
      </c>
      <c r="K571" s="6">
        <v>-1163.94</v>
      </c>
      <c r="L571" s="6">
        <v>-2.63</v>
      </c>
      <c r="M571" s="6">
        <f t="shared" si="1"/>
        <v>-1.019211909</v>
      </c>
      <c r="N571" s="6">
        <v>-2.63</v>
      </c>
      <c r="O571" s="7" t="s">
        <v>45</v>
      </c>
      <c r="P571" s="7" t="s">
        <v>46</v>
      </c>
      <c r="Q571" s="7" t="s">
        <v>25</v>
      </c>
      <c r="R571" s="10">
        <v>-1878.74</v>
      </c>
      <c r="S571" s="10">
        <v>714.81</v>
      </c>
      <c r="T571" s="9" t="s">
        <v>33</v>
      </c>
      <c r="U571" s="9"/>
      <c r="V571" s="9"/>
      <c r="W571" s="9"/>
      <c r="X571" s="9"/>
      <c r="Y571" s="9"/>
      <c r="Z571" s="9"/>
      <c r="AA571" s="9"/>
      <c r="AB571" s="9"/>
    </row>
    <row r="572">
      <c r="A572" s="5">
        <v>42208.0</v>
      </c>
      <c r="B572" s="6">
        <v>2015.0</v>
      </c>
      <c r="C572" s="7" t="s">
        <v>76</v>
      </c>
      <c r="D572" s="7" t="s">
        <v>61</v>
      </c>
      <c r="E572" s="7" t="s">
        <v>35</v>
      </c>
      <c r="F572" s="6">
        <v>1734.0</v>
      </c>
      <c r="G572" s="6">
        <v>66799.72</v>
      </c>
      <c r="H572" s="6">
        <v>38.52</v>
      </c>
      <c r="I572" s="8">
        <v>39.9790369088812</v>
      </c>
      <c r="J572" s="6">
        <v>69323.65</v>
      </c>
      <c r="K572" s="6">
        <v>-2523.92</v>
      </c>
      <c r="L572" s="6">
        <v>-3.78</v>
      </c>
      <c r="M572" s="6">
        <f t="shared" si="1"/>
        <v>-1.455547866</v>
      </c>
      <c r="N572" s="6">
        <v>-3.78</v>
      </c>
      <c r="O572" s="7" t="s">
        <v>45</v>
      </c>
      <c r="P572" s="7" t="s">
        <v>46</v>
      </c>
      <c r="Q572" s="7" t="s">
        <v>25</v>
      </c>
      <c r="R572" s="10">
        <v>-1163.94</v>
      </c>
      <c r="S572" s="10">
        <v>-1359.99</v>
      </c>
      <c r="T572" s="9" t="s">
        <v>29</v>
      </c>
      <c r="U572" s="9"/>
      <c r="V572" s="9"/>
      <c r="W572" s="9"/>
      <c r="X572" s="9"/>
      <c r="Y572" s="9"/>
      <c r="Z572" s="9"/>
      <c r="AA572" s="9"/>
      <c r="AB572" s="9"/>
    </row>
    <row r="573">
      <c r="A573" s="5">
        <v>42209.0</v>
      </c>
      <c r="B573" s="6">
        <v>2015.0</v>
      </c>
      <c r="C573" s="7" t="s">
        <v>76</v>
      </c>
      <c r="D573" s="7" t="s">
        <v>62</v>
      </c>
      <c r="E573" s="7" t="s">
        <v>37</v>
      </c>
      <c r="F573" s="6">
        <v>3259.0</v>
      </c>
      <c r="G573" s="6">
        <v>125689.59</v>
      </c>
      <c r="H573" s="6">
        <v>38.57</v>
      </c>
      <c r="I573" s="8">
        <v>40.02093586989874</v>
      </c>
      <c r="J573" s="6">
        <v>130428.23</v>
      </c>
      <c r="K573" s="6">
        <v>-4738.63</v>
      </c>
      <c r="L573" s="6">
        <v>-3.77</v>
      </c>
      <c r="M573" s="6">
        <f t="shared" si="1"/>
        <v>-1.454013501</v>
      </c>
      <c r="N573" s="6">
        <v>-3.77</v>
      </c>
      <c r="O573" s="7" t="s">
        <v>45</v>
      </c>
      <c r="P573" s="7" t="s">
        <v>46</v>
      </c>
      <c r="Q573" s="7" t="s">
        <v>25</v>
      </c>
      <c r="R573" s="10">
        <v>-2523.92</v>
      </c>
      <c r="S573" s="10">
        <v>-2214.71</v>
      </c>
      <c r="T573" s="9" t="s">
        <v>29</v>
      </c>
      <c r="U573" s="9"/>
      <c r="V573" s="9"/>
      <c r="W573" s="9"/>
      <c r="X573" s="9"/>
      <c r="Y573" s="9"/>
      <c r="Z573" s="9"/>
      <c r="AA573" s="9"/>
      <c r="AB573" s="9"/>
    </row>
    <row r="574">
      <c r="A574" s="5">
        <v>42210.0</v>
      </c>
      <c r="B574" s="6">
        <v>2015.0</v>
      </c>
      <c r="C574" s="7" t="s">
        <v>76</v>
      </c>
      <c r="D574" s="7" t="s">
        <v>63</v>
      </c>
      <c r="E574" s="7" t="s">
        <v>39</v>
      </c>
      <c r="F574" s="6">
        <v>3572.0</v>
      </c>
      <c r="G574" s="6">
        <v>138624.95</v>
      </c>
      <c r="H574" s="6">
        <v>38.81</v>
      </c>
      <c r="I574" s="8">
        <v>40.18404255319149</v>
      </c>
      <c r="J574" s="6">
        <v>143537.4</v>
      </c>
      <c r="K574" s="6">
        <v>-4912.45</v>
      </c>
      <c r="L574" s="6">
        <v>-3.54</v>
      </c>
      <c r="M574" s="6">
        <f t="shared" si="1"/>
        <v>-1.375265957</v>
      </c>
      <c r="N574" s="6">
        <v>-3.54</v>
      </c>
      <c r="O574" s="7" t="s">
        <v>45</v>
      </c>
      <c r="P574" s="7" t="s">
        <v>46</v>
      </c>
      <c r="Q574" s="7" t="s">
        <v>25</v>
      </c>
      <c r="R574" s="10">
        <v>-4738.63</v>
      </c>
      <c r="S574" s="10">
        <v>-173.82</v>
      </c>
      <c r="T574" s="9" t="s">
        <v>29</v>
      </c>
      <c r="U574" s="9"/>
      <c r="V574" s="9"/>
      <c r="W574" s="9"/>
      <c r="X574" s="9"/>
      <c r="Y574" s="9"/>
      <c r="Z574" s="9"/>
      <c r="AA574" s="9"/>
      <c r="AB574" s="9"/>
    </row>
    <row r="575">
      <c r="A575" s="5">
        <v>42211.0</v>
      </c>
      <c r="B575" s="6">
        <v>2015.0</v>
      </c>
      <c r="C575" s="7" t="s">
        <v>76</v>
      </c>
      <c r="D575" s="7" t="s">
        <v>64</v>
      </c>
      <c r="E575" s="7" t="s">
        <v>41</v>
      </c>
      <c r="F575" s="6">
        <v>2109.0</v>
      </c>
      <c r="G575" s="6">
        <v>81715.05</v>
      </c>
      <c r="H575" s="6">
        <v>38.75</v>
      </c>
      <c r="I575" s="8">
        <v>40.34576576576577</v>
      </c>
      <c r="J575" s="6">
        <v>85089.22</v>
      </c>
      <c r="K575" s="6">
        <v>-3374.18</v>
      </c>
      <c r="L575" s="6">
        <v>-4.13</v>
      </c>
      <c r="M575" s="6">
        <f t="shared" si="1"/>
        <v>-1.599895685</v>
      </c>
      <c r="N575" s="6">
        <v>-4.13</v>
      </c>
      <c r="O575" s="7" t="s">
        <v>45</v>
      </c>
      <c r="P575" s="7" t="s">
        <v>46</v>
      </c>
      <c r="Q575" s="7" t="s">
        <v>25</v>
      </c>
      <c r="R575" s="10">
        <v>-4912.45</v>
      </c>
      <c r="S575" s="10">
        <v>1538.27</v>
      </c>
      <c r="T575" s="9" t="s">
        <v>33</v>
      </c>
      <c r="U575" s="9"/>
      <c r="V575" s="9"/>
      <c r="W575" s="9"/>
      <c r="X575" s="9"/>
      <c r="Y575" s="9"/>
      <c r="Z575" s="9"/>
      <c r="AA575" s="9"/>
      <c r="AB575" s="9"/>
    </row>
    <row r="576">
      <c r="A576" s="5">
        <v>42212.0</v>
      </c>
      <c r="B576" s="6">
        <v>2015.0</v>
      </c>
      <c r="C576" s="7" t="s">
        <v>76</v>
      </c>
      <c r="D576" s="7" t="s">
        <v>65</v>
      </c>
      <c r="E576" s="7" t="s">
        <v>22</v>
      </c>
      <c r="F576" s="6">
        <v>2242.0</v>
      </c>
      <c r="G576" s="6">
        <v>86842.86</v>
      </c>
      <c r="H576" s="6">
        <v>38.73</v>
      </c>
      <c r="I576" s="8">
        <v>40.25102140945584</v>
      </c>
      <c r="J576" s="6">
        <v>90242.79</v>
      </c>
      <c r="K576" s="6">
        <v>-3399.93</v>
      </c>
      <c r="L576" s="6">
        <v>-3.92</v>
      </c>
      <c r="M576" s="6">
        <f t="shared" si="1"/>
        <v>-1.5164719</v>
      </c>
      <c r="N576" s="6">
        <v>-3.92</v>
      </c>
      <c r="O576" s="7" t="s">
        <v>45</v>
      </c>
      <c r="P576" s="7" t="s">
        <v>46</v>
      </c>
      <c r="Q576" s="7" t="s">
        <v>25</v>
      </c>
      <c r="R576" s="10">
        <v>-3374.18</v>
      </c>
      <c r="S576" s="10">
        <v>-25.75</v>
      </c>
      <c r="T576" s="9" t="s">
        <v>29</v>
      </c>
      <c r="U576" s="9"/>
      <c r="V576" s="9"/>
      <c r="W576" s="9"/>
      <c r="X576" s="9"/>
      <c r="Y576" s="9"/>
      <c r="Z576" s="9"/>
      <c r="AA576" s="9"/>
      <c r="AB576" s="9"/>
    </row>
    <row r="577">
      <c r="A577" s="5">
        <v>42213.0</v>
      </c>
      <c r="B577" s="6">
        <v>2015.0</v>
      </c>
      <c r="C577" s="7" t="s">
        <v>76</v>
      </c>
      <c r="D577" s="7" t="s">
        <v>66</v>
      </c>
      <c r="E577" s="7" t="s">
        <v>28</v>
      </c>
      <c r="F577" s="6">
        <v>1474.0</v>
      </c>
      <c r="G577" s="6">
        <v>56976.79</v>
      </c>
      <c r="H577" s="6">
        <v>38.65</v>
      </c>
      <c r="I577" s="8">
        <v>40.090963364993215</v>
      </c>
      <c r="J577" s="6">
        <v>59094.08</v>
      </c>
      <c r="K577" s="6">
        <v>-2117.29</v>
      </c>
      <c r="L577" s="6">
        <v>-3.72</v>
      </c>
      <c r="M577" s="6">
        <f t="shared" si="1"/>
        <v>-1.436424695</v>
      </c>
      <c r="N577" s="6">
        <v>-3.72</v>
      </c>
      <c r="O577" s="7" t="s">
        <v>45</v>
      </c>
      <c r="P577" s="7" t="s">
        <v>46</v>
      </c>
      <c r="Q577" s="7" t="s">
        <v>25</v>
      </c>
      <c r="R577" s="10">
        <v>-3399.93</v>
      </c>
      <c r="S577" s="10">
        <v>1282.64</v>
      </c>
      <c r="T577" s="9" t="s">
        <v>33</v>
      </c>
      <c r="U577" s="9"/>
      <c r="V577" s="9"/>
      <c r="W577" s="9"/>
      <c r="X577" s="9"/>
      <c r="Y577" s="9"/>
      <c r="Z577" s="9"/>
      <c r="AA577" s="9"/>
      <c r="AB577" s="9"/>
    </row>
    <row r="578">
      <c r="A578" s="5">
        <v>42214.0</v>
      </c>
      <c r="B578" s="6">
        <v>2015.0</v>
      </c>
      <c r="C578" s="7" t="s">
        <v>76</v>
      </c>
      <c r="D578" s="7" t="s">
        <v>67</v>
      </c>
      <c r="E578" s="7" t="s">
        <v>32</v>
      </c>
      <c r="F578" s="6">
        <v>1381.0</v>
      </c>
      <c r="G578" s="6">
        <v>53433.67</v>
      </c>
      <c r="H578" s="6">
        <v>38.69</v>
      </c>
      <c r="I578" s="8">
        <v>40.200238957277335</v>
      </c>
      <c r="J578" s="6">
        <v>55516.53</v>
      </c>
      <c r="K578" s="6">
        <v>-2082.86</v>
      </c>
      <c r="L578" s="6">
        <v>-3.9</v>
      </c>
      <c r="M578" s="6">
        <f t="shared" si="1"/>
        <v>-1.508225923</v>
      </c>
      <c r="N578" s="6">
        <v>-3.9</v>
      </c>
      <c r="O578" s="7" t="s">
        <v>45</v>
      </c>
      <c r="P578" s="7" t="s">
        <v>46</v>
      </c>
      <c r="Q578" s="7" t="s">
        <v>25</v>
      </c>
      <c r="R578" s="10">
        <v>-2117.29</v>
      </c>
      <c r="S578" s="10">
        <v>34.43</v>
      </c>
      <c r="T578" s="9" t="s">
        <v>33</v>
      </c>
      <c r="U578" s="9"/>
      <c r="V578" s="9"/>
      <c r="W578" s="9"/>
      <c r="X578" s="9"/>
      <c r="Y578" s="9"/>
      <c r="Z578" s="9"/>
      <c r="AA578" s="9"/>
      <c r="AB578" s="9"/>
    </row>
    <row r="579">
      <c r="A579" s="5">
        <v>42215.0</v>
      </c>
      <c r="B579" s="6">
        <v>2015.0</v>
      </c>
      <c r="C579" s="7" t="s">
        <v>76</v>
      </c>
      <c r="D579" s="7" t="s">
        <v>21</v>
      </c>
      <c r="E579" s="7" t="s">
        <v>35</v>
      </c>
      <c r="F579" s="6">
        <v>1423.0</v>
      </c>
      <c r="G579" s="6">
        <v>55134.08</v>
      </c>
      <c r="H579" s="6">
        <v>38.74</v>
      </c>
      <c r="I579" s="8">
        <v>40.10172171468728</v>
      </c>
      <c r="J579" s="6">
        <v>57064.75</v>
      </c>
      <c r="K579" s="6">
        <v>-1930.67</v>
      </c>
      <c r="L579" s="6">
        <v>-3.5</v>
      </c>
      <c r="M579" s="6">
        <f t="shared" si="1"/>
        <v>-1.356760365</v>
      </c>
      <c r="N579" s="6">
        <v>-3.5</v>
      </c>
      <c r="O579" s="7" t="s">
        <v>45</v>
      </c>
      <c r="P579" s="7" t="s">
        <v>46</v>
      </c>
      <c r="Q579" s="7" t="s">
        <v>25</v>
      </c>
      <c r="R579" s="10">
        <v>-2082.86</v>
      </c>
      <c r="S579" s="10">
        <v>152.19</v>
      </c>
      <c r="T579" s="9" t="s">
        <v>33</v>
      </c>
      <c r="U579" s="9"/>
      <c r="V579" s="9"/>
      <c r="W579" s="9"/>
      <c r="X579" s="9"/>
      <c r="Y579" s="9"/>
      <c r="Z579" s="9"/>
      <c r="AA579" s="9"/>
      <c r="AB579" s="9"/>
    </row>
    <row r="580">
      <c r="A580" s="5">
        <v>42216.0</v>
      </c>
      <c r="B580" s="6">
        <v>2015.0</v>
      </c>
      <c r="C580" s="7" t="s">
        <v>76</v>
      </c>
      <c r="D580" s="7" t="s">
        <v>27</v>
      </c>
      <c r="E580" s="7" t="s">
        <v>37</v>
      </c>
      <c r="F580" s="6">
        <v>3740.0</v>
      </c>
      <c r="G580" s="6">
        <v>145033.61</v>
      </c>
      <c r="H580" s="6">
        <v>38.78</v>
      </c>
      <c r="I580" s="8">
        <v>40.074029411764705</v>
      </c>
      <c r="J580" s="6">
        <v>149876.87</v>
      </c>
      <c r="K580" s="6">
        <v>-4843.26</v>
      </c>
      <c r="L580" s="6">
        <v>-3.34</v>
      </c>
      <c r="M580" s="6">
        <f t="shared" si="1"/>
        <v>-1.294989305</v>
      </c>
      <c r="N580" s="6">
        <v>-3.34</v>
      </c>
      <c r="O580" s="7" t="s">
        <v>45</v>
      </c>
      <c r="P580" s="7" t="s">
        <v>46</v>
      </c>
      <c r="Q580" s="7" t="s">
        <v>25</v>
      </c>
      <c r="R580" s="10">
        <v>-1930.67</v>
      </c>
      <c r="S580" s="10">
        <v>-2912.59</v>
      </c>
      <c r="T580" s="9" t="s">
        <v>29</v>
      </c>
      <c r="U580" s="9"/>
      <c r="V580" s="9"/>
      <c r="W580" s="9"/>
      <c r="X580" s="9"/>
      <c r="Y580" s="9"/>
      <c r="Z580" s="9"/>
      <c r="AA580" s="9"/>
      <c r="AB580" s="9"/>
    </row>
    <row r="581">
      <c r="A581" s="5">
        <v>42217.0</v>
      </c>
      <c r="B581" s="6">
        <v>2015.0</v>
      </c>
      <c r="C581" s="7" t="s">
        <v>77</v>
      </c>
      <c r="D581" s="7" t="s">
        <v>31</v>
      </c>
      <c r="E581" s="7" t="s">
        <v>39</v>
      </c>
      <c r="F581" s="6">
        <v>4453.0</v>
      </c>
      <c r="G581" s="6">
        <v>173306.91</v>
      </c>
      <c r="H581" s="6">
        <v>38.92</v>
      </c>
      <c r="I581" s="8">
        <v>40.13024477880081</v>
      </c>
      <c r="J581" s="6">
        <v>178699.98</v>
      </c>
      <c r="K581" s="6">
        <v>-5393.07</v>
      </c>
      <c r="L581" s="6">
        <v>-3.11</v>
      </c>
      <c r="M581" s="6">
        <f t="shared" si="1"/>
        <v>-1.211109364</v>
      </c>
      <c r="N581" s="6">
        <v>-3.11</v>
      </c>
      <c r="O581" s="7" t="s">
        <v>45</v>
      </c>
      <c r="P581" s="7" t="s">
        <v>46</v>
      </c>
      <c r="Q581" s="7" t="s">
        <v>25</v>
      </c>
      <c r="R581" s="10">
        <v>-4843.26</v>
      </c>
      <c r="S581" s="10">
        <v>-549.81</v>
      </c>
      <c r="T581" s="9" t="s">
        <v>29</v>
      </c>
      <c r="U581" s="9"/>
      <c r="V581" s="9"/>
      <c r="W581" s="9"/>
      <c r="X581" s="9"/>
      <c r="Y581" s="9"/>
      <c r="Z581" s="9"/>
      <c r="AA581" s="9"/>
      <c r="AB581" s="9"/>
    </row>
    <row r="582">
      <c r="A582" s="5">
        <v>42218.0</v>
      </c>
      <c r="B582" s="6">
        <v>2015.0</v>
      </c>
      <c r="C582" s="7" t="s">
        <v>77</v>
      </c>
      <c r="D582" s="7" t="s">
        <v>34</v>
      </c>
      <c r="E582" s="7" t="s">
        <v>41</v>
      </c>
      <c r="F582" s="6">
        <v>2258.0</v>
      </c>
      <c r="G582" s="6">
        <v>88154.34</v>
      </c>
      <c r="H582" s="6">
        <v>39.04</v>
      </c>
      <c r="I582" s="8">
        <v>40.22527015057573</v>
      </c>
      <c r="J582" s="6">
        <v>90828.66</v>
      </c>
      <c r="K582" s="6">
        <v>-2674.32</v>
      </c>
      <c r="L582" s="6">
        <v>-3.03</v>
      </c>
      <c r="M582" s="6">
        <f t="shared" si="1"/>
        <v>-1.184375554</v>
      </c>
      <c r="N582" s="6">
        <v>-3.03</v>
      </c>
      <c r="O582" s="7" t="s">
        <v>45</v>
      </c>
      <c r="P582" s="7" t="s">
        <v>46</v>
      </c>
      <c r="Q582" s="7" t="s">
        <v>25</v>
      </c>
      <c r="R582" s="10">
        <v>-5393.07</v>
      </c>
      <c r="S582" s="10">
        <v>2718.75</v>
      </c>
      <c r="T582" s="9" t="s">
        <v>33</v>
      </c>
      <c r="U582" s="9"/>
      <c r="V582" s="9"/>
      <c r="W582" s="9"/>
      <c r="X582" s="9"/>
      <c r="Y582" s="9"/>
      <c r="Z582" s="9"/>
      <c r="AA582" s="9"/>
      <c r="AB582" s="9"/>
    </row>
    <row r="583">
      <c r="A583" s="5">
        <v>42219.0</v>
      </c>
      <c r="B583" s="6">
        <v>2015.0</v>
      </c>
      <c r="C583" s="7" t="s">
        <v>77</v>
      </c>
      <c r="D583" s="7" t="s">
        <v>36</v>
      </c>
      <c r="E583" s="7" t="s">
        <v>22</v>
      </c>
      <c r="F583" s="6">
        <v>2074.0</v>
      </c>
      <c r="G583" s="6">
        <v>81142.03</v>
      </c>
      <c r="H583" s="6">
        <v>39.12</v>
      </c>
      <c r="I583" s="8">
        <v>40.07453230472517</v>
      </c>
      <c r="J583" s="6">
        <v>83114.58</v>
      </c>
      <c r="K583" s="6">
        <v>-1972.55</v>
      </c>
      <c r="L583" s="6">
        <v>-2.43</v>
      </c>
      <c r="M583" s="6">
        <f t="shared" si="1"/>
        <v>-0.9510848602</v>
      </c>
      <c r="N583" s="6">
        <v>-2.43</v>
      </c>
      <c r="O583" s="7" t="s">
        <v>45</v>
      </c>
      <c r="P583" s="7" t="s">
        <v>46</v>
      </c>
      <c r="Q583" s="7" t="s">
        <v>25</v>
      </c>
      <c r="R583" s="10">
        <v>-2674.32</v>
      </c>
      <c r="S583" s="10">
        <v>701.77</v>
      </c>
      <c r="T583" s="9" t="s">
        <v>33</v>
      </c>
      <c r="U583" s="9"/>
      <c r="V583" s="9"/>
      <c r="W583" s="9"/>
      <c r="X583" s="9"/>
      <c r="Y583" s="9"/>
      <c r="Z583" s="9"/>
      <c r="AA583" s="9"/>
      <c r="AB583" s="9"/>
    </row>
    <row r="584">
      <c r="A584" s="5">
        <v>42220.0</v>
      </c>
      <c r="B584" s="6">
        <v>2015.0</v>
      </c>
      <c r="C584" s="7" t="s">
        <v>77</v>
      </c>
      <c r="D584" s="7" t="s">
        <v>38</v>
      </c>
      <c r="E584" s="7" t="s">
        <v>28</v>
      </c>
      <c r="F584" s="6">
        <v>2007.0</v>
      </c>
      <c r="G584" s="6">
        <v>77672.88</v>
      </c>
      <c r="H584" s="6">
        <v>38.7</v>
      </c>
      <c r="I584" s="8">
        <v>40.068634778276035</v>
      </c>
      <c r="J584" s="6">
        <v>80417.75</v>
      </c>
      <c r="K584" s="6">
        <v>-2744.86</v>
      </c>
      <c r="L584" s="6">
        <v>-3.53</v>
      </c>
      <c r="M584" s="6">
        <f t="shared" si="1"/>
        <v>-1.367643249</v>
      </c>
      <c r="N584" s="6">
        <v>-3.53</v>
      </c>
      <c r="O584" s="7" t="s">
        <v>45</v>
      </c>
      <c r="P584" s="7" t="s">
        <v>46</v>
      </c>
      <c r="Q584" s="7" t="s">
        <v>25</v>
      </c>
      <c r="R584" s="10">
        <v>-1972.55</v>
      </c>
      <c r="S584" s="10">
        <v>-772.31</v>
      </c>
      <c r="T584" s="9" t="s">
        <v>29</v>
      </c>
      <c r="U584" s="9"/>
      <c r="V584" s="9"/>
      <c r="W584" s="9"/>
      <c r="X584" s="9"/>
      <c r="Y584" s="9"/>
      <c r="Z584" s="9"/>
      <c r="AA584" s="9"/>
      <c r="AB584" s="9"/>
    </row>
    <row r="585">
      <c r="A585" s="5">
        <v>42221.0</v>
      </c>
      <c r="B585" s="6">
        <v>2015.0</v>
      </c>
      <c r="C585" s="7" t="s">
        <v>77</v>
      </c>
      <c r="D585" s="7" t="s">
        <v>40</v>
      </c>
      <c r="E585" s="7" t="s">
        <v>32</v>
      </c>
      <c r="F585" s="6">
        <v>1948.0</v>
      </c>
      <c r="G585" s="6">
        <v>75483.42</v>
      </c>
      <c r="H585" s="6">
        <v>38.75</v>
      </c>
      <c r="I585" s="8">
        <v>40.0535318275154</v>
      </c>
      <c r="J585" s="6">
        <v>78024.28</v>
      </c>
      <c r="K585" s="6">
        <v>-2540.86</v>
      </c>
      <c r="L585" s="6">
        <v>-3.37</v>
      </c>
      <c r="M585" s="6">
        <f t="shared" si="1"/>
        <v>-1.304342916</v>
      </c>
      <c r="N585" s="6">
        <v>-3.37</v>
      </c>
      <c r="O585" s="7" t="s">
        <v>45</v>
      </c>
      <c r="P585" s="7" t="s">
        <v>46</v>
      </c>
      <c r="Q585" s="7" t="s">
        <v>25</v>
      </c>
      <c r="R585" s="10">
        <v>-2744.86</v>
      </c>
      <c r="S585" s="10">
        <v>204.0</v>
      </c>
      <c r="T585" s="9" t="s">
        <v>33</v>
      </c>
      <c r="U585" s="9"/>
      <c r="V585" s="9"/>
      <c r="W585" s="9"/>
      <c r="X585" s="9"/>
      <c r="Y585" s="9"/>
      <c r="Z585" s="9"/>
      <c r="AA585" s="9"/>
      <c r="AB585" s="9"/>
    </row>
    <row r="586">
      <c r="A586" s="5">
        <v>42222.0</v>
      </c>
      <c r="B586" s="6">
        <v>2015.0</v>
      </c>
      <c r="C586" s="7" t="s">
        <v>77</v>
      </c>
      <c r="D586" s="7" t="s">
        <v>42</v>
      </c>
      <c r="E586" s="7" t="s">
        <v>35</v>
      </c>
      <c r="F586" s="6">
        <v>1922.0</v>
      </c>
      <c r="G586" s="6">
        <v>74354.57</v>
      </c>
      <c r="H586" s="6">
        <v>38.69</v>
      </c>
      <c r="I586" s="8">
        <v>40.05114984391259</v>
      </c>
      <c r="J586" s="6">
        <v>76978.31</v>
      </c>
      <c r="K586" s="6">
        <v>-2623.74</v>
      </c>
      <c r="L586" s="6">
        <v>-3.53</v>
      </c>
      <c r="M586" s="6">
        <f t="shared" si="1"/>
        <v>-1.365109261</v>
      </c>
      <c r="N586" s="6">
        <v>-3.53</v>
      </c>
      <c r="O586" s="7" t="s">
        <v>45</v>
      </c>
      <c r="P586" s="7" t="s">
        <v>46</v>
      </c>
      <c r="Q586" s="7" t="s">
        <v>25</v>
      </c>
      <c r="R586" s="10">
        <v>-2540.86</v>
      </c>
      <c r="S586" s="10">
        <v>-82.87</v>
      </c>
      <c r="T586" s="9" t="s">
        <v>29</v>
      </c>
      <c r="U586" s="9"/>
      <c r="V586" s="9"/>
      <c r="W586" s="9"/>
      <c r="X586" s="9"/>
      <c r="Y586" s="9"/>
      <c r="Z586" s="9"/>
      <c r="AA586" s="9"/>
      <c r="AB586" s="9"/>
    </row>
    <row r="587">
      <c r="A587" s="5">
        <v>42223.0</v>
      </c>
      <c r="B587" s="6">
        <v>2015.0</v>
      </c>
      <c r="C587" s="7" t="s">
        <v>77</v>
      </c>
      <c r="D587" s="7" t="s">
        <v>43</v>
      </c>
      <c r="E587" s="7" t="s">
        <v>37</v>
      </c>
      <c r="F587" s="6">
        <v>3088.0</v>
      </c>
      <c r="G587" s="6">
        <v>120326.88</v>
      </c>
      <c r="H587" s="6">
        <v>38.97</v>
      </c>
      <c r="I587" s="8">
        <v>40.06080310880829</v>
      </c>
      <c r="J587" s="6">
        <v>123707.76</v>
      </c>
      <c r="K587" s="6">
        <v>-3380.89</v>
      </c>
      <c r="L587" s="6">
        <v>-2.81</v>
      </c>
      <c r="M587" s="6">
        <f t="shared" si="1"/>
        <v>-1.094847798</v>
      </c>
      <c r="N587" s="6">
        <v>-2.81</v>
      </c>
      <c r="O587" s="7" t="s">
        <v>45</v>
      </c>
      <c r="P587" s="7" t="s">
        <v>46</v>
      </c>
      <c r="Q587" s="7" t="s">
        <v>25</v>
      </c>
      <c r="R587" s="10">
        <v>-2623.74</v>
      </c>
      <c r="S587" s="10">
        <v>-757.15</v>
      </c>
      <c r="T587" s="9" t="s">
        <v>29</v>
      </c>
      <c r="U587" s="9"/>
      <c r="V587" s="9"/>
      <c r="W587" s="9"/>
      <c r="X587" s="9"/>
      <c r="Y587" s="9"/>
      <c r="Z587" s="9"/>
      <c r="AA587" s="9"/>
      <c r="AB587" s="9"/>
    </row>
    <row r="588">
      <c r="A588" s="5">
        <v>42224.0</v>
      </c>
      <c r="B588" s="6">
        <v>2015.0</v>
      </c>
      <c r="C588" s="7" t="s">
        <v>77</v>
      </c>
      <c r="D588" s="7" t="s">
        <v>44</v>
      </c>
      <c r="E588" s="7" t="s">
        <v>39</v>
      </c>
      <c r="F588" s="6">
        <v>3388.0</v>
      </c>
      <c r="G588" s="6">
        <v>131867.99</v>
      </c>
      <c r="H588" s="6">
        <v>38.92</v>
      </c>
      <c r="I588" s="8">
        <v>40.05945395513577</v>
      </c>
      <c r="J588" s="6">
        <v>135721.43</v>
      </c>
      <c r="K588" s="6">
        <v>-3853.43</v>
      </c>
      <c r="L588" s="6">
        <v>-2.92</v>
      </c>
      <c r="M588" s="6">
        <f t="shared" si="1"/>
        <v>-1.137376033</v>
      </c>
      <c r="N588" s="6">
        <v>-2.92</v>
      </c>
      <c r="O588" s="7" t="s">
        <v>45</v>
      </c>
      <c r="P588" s="7" t="s">
        <v>46</v>
      </c>
      <c r="Q588" s="7" t="s">
        <v>25</v>
      </c>
      <c r="R588" s="10">
        <v>-3380.89</v>
      </c>
      <c r="S588" s="10">
        <v>-472.55</v>
      </c>
      <c r="T588" s="9" t="s">
        <v>29</v>
      </c>
      <c r="U588" s="9"/>
      <c r="V588" s="9"/>
      <c r="W588" s="9"/>
      <c r="X588" s="9"/>
      <c r="Y588" s="9"/>
      <c r="Z588" s="9"/>
      <c r="AA588" s="9"/>
      <c r="AB588" s="9"/>
    </row>
    <row r="589">
      <c r="A589" s="5">
        <v>42225.0</v>
      </c>
      <c r="B589" s="6">
        <v>2015.0</v>
      </c>
      <c r="C589" s="7" t="s">
        <v>77</v>
      </c>
      <c r="D589" s="7" t="s">
        <v>47</v>
      </c>
      <c r="E589" s="7" t="s">
        <v>41</v>
      </c>
      <c r="F589" s="6">
        <v>1944.0</v>
      </c>
      <c r="G589" s="6">
        <v>75504.0</v>
      </c>
      <c r="H589" s="6">
        <v>38.84</v>
      </c>
      <c r="I589" s="8">
        <v>40.11249485596708</v>
      </c>
      <c r="J589" s="6">
        <v>77978.69</v>
      </c>
      <c r="K589" s="6">
        <v>-2474.69</v>
      </c>
      <c r="L589" s="6">
        <v>-3.28</v>
      </c>
      <c r="M589" s="6">
        <f t="shared" si="1"/>
        <v>-1.272988683</v>
      </c>
      <c r="N589" s="6">
        <v>-3.28</v>
      </c>
      <c r="O589" s="7" t="s">
        <v>45</v>
      </c>
      <c r="P589" s="7" t="s">
        <v>46</v>
      </c>
      <c r="Q589" s="7" t="s">
        <v>25</v>
      </c>
      <c r="R589" s="10">
        <v>-3853.43</v>
      </c>
      <c r="S589" s="10">
        <v>1378.74</v>
      </c>
      <c r="T589" s="9" t="s">
        <v>33</v>
      </c>
      <c r="U589" s="9"/>
      <c r="V589" s="9"/>
      <c r="W589" s="9"/>
      <c r="X589" s="9"/>
      <c r="Y589" s="9"/>
      <c r="Z589" s="9"/>
      <c r="AA589" s="9"/>
      <c r="AB589" s="9"/>
    </row>
    <row r="590">
      <c r="A590" s="5">
        <v>42226.0</v>
      </c>
      <c r="B590" s="6">
        <v>2015.0</v>
      </c>
      <c r="C590" s="7" t="s">
        <v>77</v>
      </c>
      <c r="D590" s="7" t="s">
        <v>48</v>
      </c>
      <c r="E590" s="7" t="s">
        <v>22</v>
      </c>
      <c r="F590" s="6">
        <v>1812.0</v>
      </c>
      <c r="G590" s="6">
        <v>69968.08</v>
      </c>
      <c r="H590" s="6">
        <v>38.61</v>
      </c>
      <c r="I590" s="8">
        <v>40.1025</v>
      </c>
      <c r="J590" s="6">
        <v>72665.73</v>
      </c>
      <c r="K590" s="6">
        <v>-2697.65</v>
      </c>
      <c r="L590" s="6">
        <v>-3.86</v>
      </c>
      <c r="M590" s="6">
        <f t="shared" si="1"/>
        <v>-1.488769316</v>
      </c>
      <c r="N590" s="6">
        <v>-3.86</v>
      </c>
      <c r="O590" s="7" t="s">
        <v>45</v>
      </c>
      <c r="P590" s="7" t="s">
        <v>46</v>
      </c>
      <c r="Q590" s="7" t="s">
        <v>25</v>
      </c>
      <c r="R590" s="10">
        <v>-2474.69</v>
      </c>
      <c r="S590" s="10">
        <v>-222.96</v>
      </c>
      <c r="T590" s="9" t="s">
        <v>29</v>
      </c>
      <c r="U590" s="9"/>
      <c r="V590" s="9"/>
      <c r="W590" s="9"/>
      <c r="X590" s="9"/>
      <c r="Y590" s="9"/>
      <c r="Z590" s="9"/>
      <c r="AA590" s="9"/>
      <c r="AB590" s="9"/>
    </row>
    <row r="591">
      <c r="A591" s="5">
        <v>42227.0</v>
      </c>
      <c r="B591" s="6">
        <v>2015.0</v>
      </c>
      <c r="C591" s="7" t="s">
        <v>77</v>
      </c>
      <c r="D591" s="7" t="s">
        <v>49</v>
      </c>
      <c r="E591" s="7" t="s">
        <v>28</v>
      </c>
      <c r="F591" s="6">
        <v>1563.0</v>
      </c>
      <c r="G591" s="6">
        <v>60187.15</v>
      </c>
      <c r="H591" s="6">
        <v>38.51</v>
      </c>
      <c r="I591" s="8">
        <v>40.011829814459375</v>
      </c>
      <c r="J591" s="6">
        <v>62538.49</v>
      </c>
      <c r="K591" s="6">
        <v>-2351.34</v>
      </c>
      <c r="L591" s="6">
        <v>-3.91</v>
      </c>
      <c r="M591" s="6">
        <f t="shared" si="1"/>
        <v>-1.5043762</v>
      </c>
      <c r="N591" s="6">
        <v>-3.91</v>
      </c>
      <c r="O591" s="7" t="s">
        <v>45</v>
      </c>
      <c r="P591" s="7" t="s">
        <v>46</v>
      </c>
      <c r="Q591" s="7" t="s">
        <v>25</v>
      </c>
      <c r="R591" s="10">
        <v>-2697.65</v>
      </c>
      <c r="S591" s="10">
        <v>346.3</v>
      </c>
      <c r="T591" s="9" t="s">
        <v>33</v>
      </c>
      <c r="U591" s="9"/>
      <c r="V591" s="9"/>
      <c r="W591" s="9"/>
      <c r="X591" s="9"/>
      <c r="Y591" s="9"/>
      <c r="Z591" s="9"/>
      <c r="AA591" s="9"/>
      <c r="AB591" s="9"/>
    </row>
    <row r="592">
      <c r="A592" s="5">
        <v>42228.0</v>
      </c>
      <c r="B592" s="6">
        <v>2015.0</v>
      </c>
      <c r="C592" s="7" t="s">
        <v>77</v>
      </c>
      <c r="D592" s="7" t="s">
        <v>50</v>
      </c>
      <c r="E592" s="7" t="s">
        <v>32</v>
      </c>
      <c r="F592" s="6">
        <v>1171.0</v>
      </c>
      <c r="G592" s="6">
        <v>44698.7</v>
      </c>
      <c r="H592" s="6">
        <v>38.17</v>
      </c>
      <c r="I592" s="8">
        <v>40.008172502134926</v>
      </c>
      <c r="J592" s="6">
        <v>46849.57</v>
      </c>
      <c r="K592" s="6">
        <v>-2150.87</v>
      </c>
      <c r="L592" s="6">
        <v>-4.81</v>
      </c>
      <c r="M592" s="6">
        <f t="shared" si="1"/>
        <v>-1.836780529</v>
      </c>
      <c r="N592" s="6">
        <v>-4.81</v>
      </c>
      <c r="O592" s="7" t="s">
        <v>45</v>
      </c>
      <c r="P592" s="7" t="s">
        <v>46</v>
      </c>
      <c r="Q592" s="7" t="s">
        <v>25</v>
      </c>
      <c r="R592" s="10">
        <v>-2351.34</v>
      </c>
      <c r="S592" s="10">
        <v>200.48</v>
      </c>
      <c r="T592" s="9" t="s">
        <v>33</v>
      </c>
      <c r="U592" s="9"/>
      <c r="V592" s="9"/>
      <c r="W592" s="9"/>
      <c r="X592" s="9"/>
      <c r="Y592" s="9"/>
      <c r="Z592" s="9"/>
      <c r="AA592" s="9"/>
      <c r="AB592" s="9"/>
    </row>
    <row r="593">
      <c r="A593" s="5">
        <v>42229.0</v>
      </c>
      <c r="B593" s="6">
        <v>2015.0</v>
      </c>
      <c r="C593" s="7" t="s">
        <v>77</v>
      </c>
      <c r="D593" s="7" t="s">
        <v>51</v>
      </c>
      <c r="E593" s="7" t="s">
        <v>35</v>
      </c>
      <c r="F593" s="6">
        <v>1035.0</v>
      </c>
      <c r="G593" s="6">
        <v>39463.41</v>
      </c>
      <c r="H593" s="6">
        <v>38.13</v>
      </c>
      <c r="I593" s="8">
        <v>40.013932367149756</v>
      </c>
      <c r="J593" s="6">
        <v>41414.42</v>
      </c>
      <c r="K593" s="6">
        <v>-1951.01</v>
      </c>
      <c r="L593" s="6">
        <v>-4.94</v>
      </c>
      <c r="M593" s="6">
        <f t="shared" si="1"/>
        <v>-1.885033816</v>
      </c>
      <c r="N593" s="6">
        <v>-4.94</v>
      </c>
      <c r="O593" s="7" t="s">
        <v>45</v>
      </c>
      <c r="P593" s="7" t="s">
        <v>46</v>
      </c>
      <c r="Q593" s="7" t="s">
        <v>25</v>
      </c>
      <c r="R593" s="10">
        <v>-2150.87</v>
      </c>
      <c r="S593" s="10">
        <v>199.86</v>
      </c>
      <c r="T593" s="9" t="s">
        <v>33</v>
      </c>
      <c r="U593" s="9"/>
      <c r="V593" s="9"/>
      <c r="W593" s="9"/>
      <c r="X593" s="9"/>
      <c r="Y593" s="9"/>
      <c r="Z593" s="9"/>
      <c r="AA593" s="9"/>
      <c r="AB593" s="9"/>
    </row>
    <row r="594">
      <c r="A594" s="5">
        <v>42230.0</v>
      </c>
      <c r="B594" s="6">
        <v>2015.0</v>
      </c>
      <c r="C594" s="7" t="s">
        <v>77</v>
      </c>
      <c r="D594" s="7" t="s">
        <v>52</v>
      </c>
      <c r="E594" s="7" t="s">
        <v>37</v>
      </c>
      <c r="F594" s="6">
        <v>2247.0</v>
      </c>
      <c r="G594" s="6">
        <v>85794.1</v>
      </c>
      <c r="H594" s="6">
        <v>38.18</v>
      </c>
      <c r="I594" s="8">
        <v>40.008406764574985</v>
      </c>
      <c r="J594" s="6">
        <v>89898.89</v>
      </c>
      <c r="K594" s="6">
        <v>-4104.8</v>
      </c>
      <c r="L594" s="6">
        <v>-4.78</v>
      </c>
      <c r="M594" s="6">
        <f t="shared" si="1"/>
        <v>-1.826791277</v>
      </c>
      <c r="N594" s="6">
        <v>-4.78</v>
      </c>
      <c r="O594" s="7" t="s">
        <v>45</v>
      </c>
      <c r="P594" s="7" t="s">
        <v>46</v>
      </c>
      <c r="Q594" s="7" t="s">
        <v>25</v>
      </c>
      <c r="R594" s="10">
        <v>-1951.01</v>
      </c>
      <c r="S594" s="10">
        <v>-2153.79</v>
      </c>
      <c r="T594" s="9" t="s">
        <v>29</v>
      </c>
      <c r="U594" s="9"/>
      <c r="V594" s="9"/>
      <c r="W594" s="9"/>
      <c r="X594" s="9"/>
      <c r="Y594" s="9"/>
      <c r="Z594" s="9"/>
      <c r="AA594" s="9"/>
      <c r="AB594" s="9"/>
    </row>
    <row r="595">
      <c r="A595" s="5">
        <v>42231.0</v>
      </c>
      <c r="B595" s="6">
        <v>2015.0</v>
      </c>
      <c r="C595" s="7" t="s">
        <v>77</v>
      </c>
      <c r="D595" s="7" t="s">
        <v>53</v>
      </c>
      <c r="E595" s="7" t="s">
        <v>39</v>
      </c>
      <c r="F595" s="6">
        <v>3068.0</v>
      </c>
      <c r="G595" s="6">
        <v>117288.01</v>
      </c>
      <c r="H595" s="6">
        <v>38.23</v>
      </c>
      <c r="I595" s="8">
        <v>39.929713168187746</v>
      </c>
      <c r="J595" s="6">
        <v>122504.36</v>
      </c>
      <c r="K595" s="6">
        <v>-5216.35</v>
      </c>
      <c r="L595" s="6">
        <v>-4.45</v>
      </c>
      <c r="M595" s="6">
        <f t="shared" si="1"/>
        <v>-1.700244459</v>
      </c>
      <c r="N595" s="6">
        <v>-4.45</v>
      </c>
      <c r="O595" s="7" t="s">
        <v>45</v>
      </c>
      <c r="P595" s="7" t="s">
        <v>46</v>
      </c>
      <c r="Q595" s="7" t="s">
        <v>25</v>
      </c>
      <c r="R595" s="10">
        <v>-4104.8</v>
      </c>
      <c r="S595" s="10">
        <v>-1111.55</v>
      </c>
      <c r="T595" s="9" t="s">
        <v>29</v>
      </c>
      <c r="U595" s="9"/>
      <c r="V595" s="9"/>
      <c r="W595" s="9"/>
      <c r="X595" s="9"/>
      <c r="Y595" s="9"/>
      <c r="Z595" s="9"/>
      <c r="AA595" s="9"/>
      <c r="AB595" s="9"/>
    </row>
    <row r="596">
      <c r="A596" s="5">
        <v>42232.0</v>
      </c>
      <c r="B596" s="6">
        <v>2015.0</v>
      </c>
      <c r="C596" s="7" t="s">
        <v>77</v>
      </c>
      <c r="D596" s="7" t="s">
        <v>54</v>
      </c>
      <c r="E596" s="7" t="s">
        <v>41</v>
      </c>
      <c r="F596" s="6">
        <v>1866.0</v>
      </c>
      <c r="G596" s="6">
        <v>71056.06</v>
      </c>
      <c r="H596" s="6">
        <v>38.08</v>
      </c>
      <c r="I596" s="8">
        <v>39.97275991425509</v>
      </c>
      <c r="J596" s="6">
        <v>74589.17</v>
      </c>
      <c r="K596" s="6">
        <v>-3533.11</v>
      </c>
      <c r="L596" s="6">
        <v>-4.97</v>
      </c>
      <c r="M596" s="6">
        <f t="shared" si="1"/>
        <v>-1.893413719</v>
      </c>
      <c r="N596" s="6">
        <v>-4.97</v>
      </c>
      <c r="O596" s="7" t="s">
        <v>45</v>
      </c>
      <c r="P596" s="7" t="s">
        <v>46</v>
      </c>
      <c r="Q596" s="7" t="s">
        <v>25</v>
      </c>
      <c r="R596" s="10">
        <v>-5216.35</v>
      </c>
      <c r="S596" s="10">
        <v>1683.24</v>
      </c>
      <c r="T596" s="9" t="s">
        <v>33</v>
      </c>
      <c r="U596" s="9"/>
      <c r="V596" s="9"/>
      <c r="W596" s="9"/>
      <c r="X596" s="9"/>
      <c r="Y596" s="9"/>
      <c r="Z596" s="9"/>
      <c r="AA596" s="9"/>
      <c r="AB596" s="9"/>
    </row>
    <row r="597">
      <c r="A597" s="5">
        <v>42233.0</v>
      </c>
      <c r="B597" s="6">
        <v>2015.0</v>
      </c>
      <c r="C597" s="7" t="s">
        <v>77</v>
      </c>
      <c r="D597" s="7" t="s">
        <v>55</v>
      </c>
      <c r="E597" s="7" t="s">
        <v>22</v>
      </c>
      <c r="F597" s="6">
        <v>1690.0</v>
      </c>
      <c r="G597" s="6">
        <v>64394.07</v>
      </c>
      <c r="H597" s="6">
        <v>38.1</v>
      </c>
      <c r="I597" s="8">
        <v>39.9439349112426</v>
      </c>
      <c r="J597" s="6">
        <v>67505.25</v>
      </c>
      <c r="K597" s="6">
        <v>-3111.18</v>
      </c>
      <c r="L597" s="6">
        <v>-4.83</v>
      </c>
      <c r="M597" s="6">
        <f t="shared" si="1"/>
        <v>-1.840934911</v>
      </c>
      <c r="N597" s="6">
        <v>-4.83</v>
      </c>
      <c r="O597" s="7" t="s">
        <v>45</v>
      </c>
      <c r="P597" s="7" t="s">
        <v>46</v>
      </c>
      <c r="Q597" s="7" t="s">
        <v>25</v>
      </c>
      <c r="R597" s="10">
        <v>-3533.11</v>
      </c>
      <c r="S597" s="10">
        <v>421.93</v>
      </c>
      <c r="T597" s="9" t="s">
        <v>33</v>
      </c>
      <c r="U597" s="9"/>
      <c r="V597" s="9"/>
      <c r="W597" s="9"/>
      <c r="X597" s="9"/>
      <c r="Y597" s="9"/>
      <c r="Z597" s="9"/>
      <c r="AA597" s="9"/>
      <c r="AB597" s="9"/>
    </row>
    <row r="598">
      <c r="A598" s="5">
        <v>42234.0</v>
      </c>
      <c r="B598" s="6">
        <v>2015.0</v>
      </c>
      <c r="C598" s="7" t="s">
        <v>77</v>
      </c>
      <c r="D598" s="7" t="s">
        <v>56</v>
      </c>
      <c r="E598" s="7" t="s">
        <v>28</v>
      </c>
      <c r="F598" s="6">
        <v>922.0</v>
      </c>
      <c r="G598" s="6">
        <v>35165.97</v>
      </c>
      <c r="H598" s="6">
        <v>38.14</v>
      </c>
      <c r="I598" s="8">
        <v>39.95875271149675</v>
      </c>
      <c r="J598" s="6">
        <v>36841.97</v>
      </c>
      <c r="K598" s="6">
        <v>-1676.0</v>
      </c>
      <c r="L598" s="6">
        <v>-4.77</v>
      </c>
      <c r="M598" s="6">
        <f t="shared" si="1"/>
        <v>-1.817787419</v>
      </c>
      <c r="N598" s="6">
        <v>-4.77</v>
      </c>
      <c r="O598" s="7" t="s">
        <v>45</v>
      </c>
      <c r="P598" s="7" t="s">
        <v>46</v>
      </c>
      <c r="Q598" s="7" t="s">
        <v>25</v>
      </c>
      <c r="R598" s="10">
        <v>-3111.18</v>
      </c>
      <c r="S598" s="10">
        <v>1435.18</v>
      </c>
      <c r="T598" s="9" t="s">
        <v>33</v>
      </c>
      <c r="U598" s="9"/>
      <c r="V598" s="9"/>
      <c r="W598" s="9"/>
      <c r="X598" s="9"/>
      <c r="Y598" s="9"/>
      <c r="Z598" s="9"/>
      <c r="AA598" s="9"/>
      <c r="AB598" s="9"/>
    </row>
    <row r="599">
      <c r="A599" s="5">
        <v>42235.0</v>
      </c>
      <c r="B599" s="6">
        <v>2015.0</v>
      </c>
      <c r="C599" s="7" t="s">
        <v>77</v>
      </c>
      <c r="D599" s="7" t="s">
        <v>57</v>
      </c>
      <c r="E599" s="7" t="s">
        <v>32</v>
      </c>
      <c r="F599" s="6">
        <v>604.0</v>
      </c>
      <c r="G599" s="6">
        <v>23234.18</v>
      </c>
      <c r="H599" s="6">
        <v>38.47</v>
      </c>
      <c r="I599" s="8">
        <v>39.90743377483444</v>
      </c>
      <c r="J599" s="6">
        <v>24104.09</v>
      </c>
      <c r="K599" s="6">
        <v>-869.9</v>
      </c>
      <c r="L599" s="6">
        <v>-3.74</v>
      </c>
      <c r="M599" s="6">
        <f t="shared" si="1"/>
        <v>-1.440231788</v>
      </c>
      <c r="N599" s="6">
        <v>-3.74</v>
      </c>
      <c r="O599" s="7" t="s">
        <v>45</v>
      </c>
      <c r="P599" s="7" t="s">
        <v>46</v>
      </c>
      <c r="Q599" s="7" t="s">
        <v>25</v>
      </c>
      <c r="R599" s="10">
        <v>-1676.0</v>
      </c>
      <c r="S599" s="10">
        <v>806.09</v>
      </c>
      <c r="T599" s="9" t="s">
        <v>33</v>
      </c>
      <c r="U599" s="9"/>
      <c r="V599" s="9"/>
      <c r="W599" s="9"/>
      <c r="X599" s="9"/>
      <c r="Y599" s="9"/>
      <c r="Z599" s="9"/>
      <c r="AA599" s="9"/>
      <c r="AB599" s="9"/>
    </row>
    <row r="600">
      <c r="A600" s="5">
        <v>42236.0</v>
      </c>
      <c r="B600" s="6">
        <v>2015.0</v>
      </c>
      <c r="C600" s="7" t="s">
        <v>77</v>
      </c>
      <c r="D600" s="7" t="s">
        <v>58</v>
      </c>
      <c r="E600" s="7" t="s">
        <v>35</v>
      </c>
      <c r="F600" s="6">
        <v>643.0</v>
      </c>
      <c r="G600" s="6">
        <v>24754.96</v>
      </c>
      <c r="H600" s="6">
        <v>38.5</v>
      </c>
      <c r="I600" s="8">
        <v>39.513483670295486</v>
      </c>
      <c r="J600" s="6">
        <v>25407.17</v>
      </c>
      <c r="K600" s="6">
        <v>-652.22</v>
      </c>
      <c r="L600" s="6">
        <v>-2.63</v>
      </c>
      <c r="M600" s="6">
        <f t="shared" si="1"/>
        <v>-1.014339036</v>
      </c>
      <c r="N600" s="6">
        <v>-2.63</v>
      </c>
      <c r="O600" s="7" t="s">
        <v>45</v>
      </c>
      <c r="P600" s="7" t="s">
        <v>46</v>
      </c>
      <c r="Q600" s="7" t="s">
        <v>25</v>
      </c>
      <c r="R600" s="10">
        <v>-869.9</v>
      </c>
      <c r="S600" s="10">
        <v>217.69</v>
      </c>
      <c r="T600" s="9" t="s">
        <v>33</v>
      </c>
      <c r="U600" s="9"/>
      <c r="V600" s="9"/>
      <c r="W600" s="9"/>
      <c r="X600" s="9"/>
      <c r="Y600" s="9"/>
      <c r="Z600" s="9"/>
      <c r="AA600" s="9"/>
      <c r="AB600" s="9"/>
    </row>
    <row r="601">
      <c r="A601" s="5">
        <v>42237.0</v>
      </c>
      <c r="B601" s="6">
        <v>2015.0</v>
      </c>
      <c r="C601" s="7" t="s">
        <v>77</v>
      </c>
      <c r="D601" s="7" t="s">
        <v>59</v>
      </c>
      <c r="E601" s="7" t="s">
        <v>37</v>
      </c>
      <c r="F601" s="6">
        <v>2006.0</v>
      </c>
      <c r="G601" s="6">
        <v>76691.28</v>
      </c>
      <c r="H601" s="6">
        <v>38.23</v>
      </c>
      <c r="I601" s="8">
        <v>39.228295114656035</v>
      </c>
      <c r="J601" s="6">
        <v>78691.96</v>
      </c>
      <c r="K601" s="6">
        <v>-2000.67</v>
      </c>
      <c r="L601" s="6">
        <v>-2.61</v>
      </c>
      <c r="M601" s="6">
        <f t="shared" si="1"/>
        <v>-0.9973429711</v>
      </c>
      <c r="N601" s="6">
        <v>-2.61</v>
      </c>
      <c r="O601" s="7" t="s">
        <v>45</v>
      </c>
      <c r="P601" s="7" t="s">
        <v>46</v>
      </c>
      <c r="Q601" s="7" t="s">
        <v>25</v>
      </c>
      <c r="R601" s="10">
        <v>-652.22</v>
      </c>
      <c r="S601" s="10">
        <v>-1348.46</v>
      </c>
      <c r="T601" s="9" t="s">
        <v>29</v>
      </c>
      <c r="U601" s="9"/>
      <c r="V601" s="9"/>
      <c r="W601" s="9"/>
      <c r="X601" s="9"/>
      <c r="Y601" s="9"/>
      <c r="Z601" s="9"/>
      <c r="AA601" s="9"/>
      <c r="AB601" s="9"/>
    </row>
    <row r="602">
      <c r="A602" s="5">
        <v>42238.0</v>
      </c>
      <c r="B602" s="6">
        <v>2015.0</v>
      </c>
      <c r="C602" s="7" t="s">
        <v>77</v>
      </c>
      <c r="D602" s="7" t="s">
        <v>60</v>
      </c>
      <c r="E602" s="7" t="s">
        <v>39</v>
      </c>
      <c r="F602" s="6">
        <v>2677.0</v>
      </c>
      <c r="G602" s="6">
        <v>102231.21</v>
      </c>
      <c r="H602" s="6">
        <v>38.19</v>
      </c>
      <c r="I602" s="8">
        <v>39.115805005603285</v>
      </c>
      <c r="J602" s="6">
        <v>104713.01</v>
      </c>
      <c r="K602" s="6">
        <v>-2481.8</v>
      </c>
      <c r="L602" s="6">
        <v>-2.43</v>
      </c>
      <c r="M602" s="6">
        <f t="shared" si="1"/>
        <v>-0.9270825551</v>
      </c>
      <c r="N602" s="6">
        <v>-2.43</v>
      </c>
      <c r="O602" s="7" t="s">
        <v>45</v>
      </c>
      <c r="P602" s="7" t="s">
        <v>46</v>
      </c>
      <c r="Q602" s="7" t="s">
        <v>25</v>
      </c>
      <c r="R602" s="10">
        <v>-2000.67</v>
      </c>
      <c r="S602" s="10">
        <v>-481.12</v>
      </c>
      <c r="T602" s="9" t="s">
        <v>29</v>
      </c>
      <c r="U602" s="9"/>
      <c r="V602" s="9"/>
      <c r="W602" s="9"/>
      <c r="X602" s="9"/>
      <c r="Y602" s="9"/>
      <c r="Z602" s="9"/>
      <c r="AA602" s="9"/>
      <c r="AB602" s="9"/>
    </row>
    <row r="603">
      <c r="A603" s="5">
        <v>42239.0</v>
      </c>
      <c r="B603" s="6">
        <v>2015.0</v>
      </c>
      <c r="C603" s="7" t="s">
        <v>77</v>
      </c>
      <c r="D603" s="7" t="s">
        <v>61</v>
      </c>
      <c r="E603" s="7" t="s">
        <v>41</v>
      </c>
      <c r="F603" s="6">
        <v>1467.0</v>
      </c>
      <c r="G603" s="6">
        <v>56974.87</v>
      </c>
      <c r="H603" s="6">
        <v>38.84</v>
      </c>
      <c r="I603" s="8">
        <v>39.22903203817314</v>
      </c>
      <c r="J603" s="6">
        <v>57548.99</v>
      </c>
      <c r="K603" s="6">
        <v>-574.12</v>
      </c>
      <c r="L603" s="6">
        <v>-1.01</v>
      </c>
      <c r="M603" s="6">
        <f t="shared" si="1"/>
        <v>-0.3913565099</v>
      </c>
      <c r="N603" s="6">
        <v>-1.01</v>
      </c>
      <c r="O603" s="7" t="s">
        <v>45</v>
      </c>
      <c r="P603" s="7" t="s">
        <v>46</v>
      </c>
      <c r="Q603" s="7" t="s">
        <v>25</v>
      </c>
      <c r="R603" s="10">
        <v>-2481.8</v>
      </c>
      <c r="S603" s="10">
        <v>1907.68</v>
      </c>
      <c r="T603" s="9" t="s">
        <v>33</v>
      </c>
      <c r="U603" s="9"/>
      <c r="V603" s="9"/>
      <c r="W603" s="9"/>
      <c r="X603" s="9"/>
      <c r="Y603" s="9"/>
      <c r="Z603" s="9"/>
      <c r="AA603" s="9"/>
      <c r="AB603" s="9"/>
    </row>
    <row r="604">
      <c r="A604" s="5">
        <v>42240.0</v>
      </c>
      <c r="B604" s="6">
        <v>2015.0</v>
      </c>
      <c r="C604" s="7" t="s">
        <v>77</v>
      </c>
      <c r="D604" s="7" t="s">
        <v>62</v>
      </c>
      <c r="E604" s="7" t="s">
        <v>22</v>
      </c>
      <c r="F604" s="6">
        <v>1528.0</v>
      </c>
      <c r="G604" s="6">
        <v>59442.73</v>
      </c>
      <c r="H604" s="6">
        <v>38.9</v>
      </c>
      <c r="I604" s="8">
        <v>39.12659031413612</v>
      </c>
      <c r="J604" s="6">
        <v>59785.43</v>
      </c>
      <c r="K604" s="6">
        <v>-342.7</v>
      </c>
      <c r="L604" s="6">
        <v>-0.58</v>
      </c>
      <c r="M604" s="6">
        <f t="shared" si="1"/>
        <v>-0.2242801047</v>
      </c>
      <c r="N604" s="6">
        <v>-0.58</v>
      </c>
      <c r="O604" s="7" t="s">
        <v>45</v>
      </c>
      <c r="P604" s="7" t="s">
        <v>46</v>
      </c>
      <c r="Q604" s="7" t="s">
        <v>25</v>
      </c>
      <c r="R604" s="10">
        <v>-574.12</v>
      </c>
      <c r="S604" s="10">
        <v>231.42</v>
      </c>
      <c r="T604" s="9" t="s">
        <v>33</v>
      </c>
      <c r="U604" s="9"/>
      <c r="V604" s="9"/>
      <c r="W604" s="9"/>
      <c r="X604" s="9"/>
      <c r="Y604" s="9"/>
      <c r="Z604" s="9"/>
      <c r="AA604" s="9"/>
      <c r="AB604" s="9"/>
    </row>
    <row r="605">
      <c r="A605" s="5">
        <v>42241.0</v>
      </c>
      <c r="B605" s="6">
        <v>2015.0</v>
      </c>
      <c r="C605" s="7" t="s">
        <v>77</v>
      </c>
      <c r="D605" s="7" t="s">
        <v>63</v>
      </c>
      <c r="E605" s="7" t="s">
        <v>28</v>
      </c>
      <c r="F605" s="6">
        <v>6360.0</v>
      </c>
      <c r="G605" s="6">
        <v>217683.36</v>
      </c>
      <c r="H605" s="6">
        <v>34.23</v>
      </c>
      <c r="I605" s="8">
        <v>38.83266194968554</v>
      </c>
      <c r="J605" s="6">
        <v>246975.73</v>
      </c>
      <c r="K605" s="6">
        <v>-29292.37</v>
      </c>
      <c r="L605" s="6">
        <v>-13.46</v>
      </c>
      <c r="M605" s="6">
        <f t="shared" si="1"/>
        <v>-4.605718553</v>
      </c>
      <c r="N605" s="6">
        <v>-13.46</v>
      </c>
      <c r="O605" s="7" t="s">
        <v>45</v>
      </c>
      <c r="P605" s="7" t="s">
        <v>46</v>
      </c>
      <c r="Q605" s="7" t="s">
        <v>25</v>
      </c>
      <c r="R605" s="10">
        <v>-342.7</v>
      </c>
      <c r="S605" s="10">
        <v>-28949.67</v>
      </c>
      <c r="T605" s="9" t="s">
        <v>29</v>
      </c>
      <c r="U605" s="9"/>
      <c r="V605" s="9"/>
      <c r="W605" s="9"/>
      <c r="X605" s="9"/>
      <c r="Y605" s="9"/>
      <c r="Z605" s="9"/>
      <c r="AA605" s="9"/>
      <c r="AB605" s="9"/>
    </row>
    <row r="606">
      <c r="A606" s="5">
        <v>42242.0</v>
      </c>
      <c r="B606" s="6">
        <v>2015.0</v>
      </c>
      <c r="C606" s="7" t="s">
        <v>77</v>
      </c>
      <c r="D606" s="7" t="s">
        <v>64</v>
      </c>
      <c r="E606" s="7" t="s">
        <v>32</v>
      </c>
      <c r="F606" s="6">
        <v>8035.0</v>
      </c>
      <c r="G606" s="6">
        <v>275458.81</v>
      </c>
      <c r="H606" s="6">
        <v>34.28</v>
      </c>
      <c r="I606" s="8">
        <v>38.21932420659614</v>
      </c>
      <c r="J606" s="6">
        <v>307092.27</v>
      </c>
      <c r="K606" s="6">
        <v>-31633.47</v>
      </c>
      <c r="L606" s="6">
        <v>-11.48</v>
      </c>
      <c r="M606" s="6">
        <f t="shared" si="1"/>
        <v>-3.936959552</v>
      </c>
      <c r="N606" s="6">
        <v>-11.48</v>
      </c>
      <c r="O606" s="7" t="s">
        <v>45</v>
      </c>
      <c r="P606" s="7" t="s">
        <v>46</v>
      </c>
      <c r="Q606" s="7" t="s">
        <v>25</v>
      </c>
      <c r="R606" s="10">
        <v>-29292.37</v>
      </c>
      <c r="S606" s="10">
        <v>-2341.1</v>
      </c>
      <c r="T606" s="9" t="s">
        <v>29</v>
      </c>
      <c r="U606" s="9"/>
      <c r="V606" s="9"/>
      <c r="W606" s="9"/>
      <c r="X606" s="9"/>
      <c r="Y606" s="9"/>
      <c r="Z606" s="9"/>
      <c r="AA606" s="9"/>
      <c r="AB606" s="9"/>
    </row>
    <row r="607">
      <c r="A607" s="5">
        <v>42243.0</v>
      </c>
      <c r="B607" s="6">
        <v>2015.0</v>
      </c>
      <c r="C607" s="7" t="s">
        <v>77</v>
      </c>
      <c r="D607" s="7" t="s">
        <v>65</v>
      </c>
      <c r="E607" s="7" t="s">
        <v>35</v>
      </c>
      <c r="F607" s="6">
        <v>6675.0</v>
      </c>
      <c r="G607" s="6">
        <v>228731.87</v>
      </c>
      <c r="H607" s="6">
        <v>34.27</v>
      </c>
      <c r="I607" s="8">
        <v>37.87946816479401</v>
      </c>
      <c r="J607" s="6">
        <v>252845.45</v>
      </c>
      <c r="K607" s="6">
        <v>-24113.58</v>
      </c>
      <c r="L607" s="6">
        <v>-10.54</v>
      </c>
      <c r="M607" s="6">
        <f t="shared" si="1"/>
        <v>-3.612521348</v>
      </c>
      <c r="N607" s="6">
        <v>-10.54</v>
      </c>
      <c r="O607" s="7" t="s">
        <v>45</v>
      </c>
      <c r="P607" s="7" t="s">
        <v>46</v>
      </c>
      <c r="Q607" s="7" t="s">
        <v>25</v>
      </c>
      <c r="R607" s="10">
        <v>-31633.47</v>
      </c>
      <c r="S607" s="10">
        <v>7519.89</v>
      </c>
      <c r="T607" s="9" t="s">
        <v>33</v>
      </c>
      <c r="U607" s="9"/>
      <c r="V607" s="9"/>
      <c r="W607" s="9"/>
      <c r="X607" s="9"/>
      <c r="Y607" s="9"/>
      <c r="Z607" s="9"/>
      <c r="AA607" s="9"/>
      <c r="AB607" s="9"/>
    </row>
    <row r="608">
      <c r="A608" s="5">
        <v>42244.0</v>
      </c>
      <c r="B608" s="6">
        <v>2015.0</v>
      </c>
      <c r="C608" s="7" t="s">
        <v>77</v>
      </c>
      <c r="D608" s="7" t="s">
        <v>66</v>
      </c>
      <c r="E608" s="7" t="s">
        <v>37</v>
      </c>
      <c r="F608" s="6">
        <v>11330.0</v>
      </c>
      <c r="G608" s="6">
        <v>387639.12</v>
      </c>
      <c r="H608" s="6">
        <v>34.21</v>
      </c>
      <c r="I608" s="8">
        <v>37.668428949691084</v>
      </c>
      <c r="J608" s="6">
        <v>426783.3</v>
      </c>
      <c r="K608" s="6">
        <v>-39144.18</v>
      </c>
      <c r="L608" s="6">
        <v>-10.1</v>
      </c>
      <c r="M608" s="6">
        <f t="shared" si="1"/>
        <v>-3.454914387</v>
      </c>
      <c r="N608" s="6">
        <v>-10.1</v>
      </c>
      <c r="O608" s="7" t="s">
        <v>45</v>
      </c>
      <c r="P608" s="7" t="s">
        <v>46</v>
      </c>
      <c r="Q608" s="7" t="s">
        <v>25</v>
      </c>
      <c r="R608" s="10">
        <v>-24113.58</v>
      </c>
      <c r="S608" s="10">
        <v>-15030.6</v>
      </c>
      <c r="T608" s="9" t="s">
        <v>29</v>
      </c>
      <c r="U608" s="9"/>
      <c r="V608" s="9"/>
      <c r="W608" s="9"/>
      <c r="X608" s="9"/>
      <c r="Y608" s="9"/>
      <c r="Z608" s="9"/>
      <c r="AA608" s="9"/>
      <c r="AB608" s="9"/>
    </row>
    <row r="609">
      <c r="A609" s="5">
        <v>42245.0</v>
      </c>
      <c r="B609" s="6">
        <v>2015.0</v>
      </c>
      <c r="C609" s="7" t="s">
        <v>77</v>
      </c>
      <c r="D609" s="7" t="s">
        <v>67</v>
      </c>
      <c r="E609" s="7" t="s">
        <v>39</v>
      </c>
      <c r="F609" s="6">
        <v>13484.0</v>
      </c>
      <c r="G609" s="6">
        <v>461188.0</v>
      </c>
      <c r="H609" s="6">
        <v>34.2</v>
      </c>
      <c r="I609" s="8">
        <v>37.42051245921092</v>
      </c>
      <c r="J609" s="6">
        <v>504578.19</v>
      </c>
      <c r="K609" s="6">
        <v>-43390.18</v>
      </c>
      <c r="L609" s="6">
        <v>-9.41</v>
      </c>
      <c r="M609" s="6">
        <f t="shared" si="1"/>
        <v>-3.217901216</v>
      </c>
      <c r="N609" s="6">
        <v>-9.41</v>
      </c>
      <c r="O609" s="7" t="s">
        <v>45</v>
      </c>
      <c r="P609" s="7" t="s">
        <v>46</v>
      </c>
      <c r="Q609" s="7" t="s">
        <v>25</v>
      </c>
      <c r="R609" s="10">
        <v>-39144.18</v>
      </c>
      <c r="S609" s="10">
        <v>-4246.0</v>
      </c>
      <c r="T609" s="9" t="s">
        <v>29</v>
      </c>
      <c r="U609" s="9"/>
      <c r="V609" s="9"/>
      <c r="W609" s="9"/>
      <c r="X609" s="9"/>
      <c r="Y609" s="9"/>
      <c r="Z609" s="9"/>
      <c r="AA609" s="9"/>
      <c r="AB609" s="9"/>
    </row>
    <row r="610">
      <c r="A610" s="5">
        <v>42246.0</v>
      </c>
      <c r="B610" s="6">
        <v>2015.0</v>
      </c>
      <c r="C610" s="7" t="s">
        <v>77</v>
      </c>
      <c r="D610" s="7" t="s">
        <v>21</v>
      </c>
      <c r="E610" s="7" t="s">
        <v>41</v>
      </c>
      <c r="F610" s="6">
        <v>5913.0</v>
      </c>
      <c r="G610" s="6">
        <v>202249.68</v>
      </c>
      <c r="H610" s="6">
        <v>34.2</v>
      </c>
      <c r="I610" s="8">
        <v>37.2318941315745</v>
      </c>
      <c r="J610" s="6">
        <v>220152.19</v>
      </c>
      <c r="K610" s="6">
        <v>-17902.51</v>
      </c>
      <c r="L610" s="6">
        <v>-8.85</v>
      </c>
      <c r="M610" s="6">
        <f t="shared" si="1"/>
        <v>-3.02765263</v>
      </c>
      <c r="N610" s="6">
        <v>-8.85</v>
      </c>
      <c r="O610" s="7" t="s">
        <v>45</v>
      </c>
      <c r="P610" s="7" t="s">
        <v>46</v>
      </c>
      <c r="Q610" s="7" t="s">
        <v>25</v>
      </c>
      <c r="R610" s="10">
        <v>-43390.18</v>
      </c>
      <c r="S610" s="10">
        <v>25487.67</v>
      </c>
      <c r="T610" s="9" t="s">
        <v>33</v>
      </c>
      <c r="U610" s="9"/>
      <c r="V610" s="9"/>
      <c r="W610" s="9"/>
      <c r="X610" s="9"/>
      <c r="Y610" s="9"/>
      <c r="Z610" s="9"/>
      <c r="AA610" s="9"/>
      <c r="AB610" s="9"/>
    </row>
    <row r="611">
      <c r="A611" s="5">
        <v>42247.0</v>
      </c>
      <c r="B611" s="6">
        <v>2015.0</v>
      </c>
      <c r="C611" s="7" t="s">
        <v>77</v>
      </c>
      <c r="D611" s="7" t="s">
        <v>27</v>
      </c>
      <c r="E611" s="7" t="s">
        <v>22</v>
      </c>
      <c r="F611" s="6">
        <v>9721.0</v>
      </c>
      <c r="G611" s="6">
        <v>332559.76</v>
      </c>
      <c r="H611" s="6">
        <v>34.21</v>
      </c>
      <c r="I611" s="8">
        <v>37.23591091451497</v>
      </c>
      <c r="J611" s="6">
        <v>361970.29</v>
      </c>
      <c r="K611" s="6">
        <v>-29410.52</v>
      </c>
      <c r="L611" s="6">
        <v>-8.84</v>
      </c>
      <c r="M611" s="6">
        <f t="shared" si="1"/>
        <v>-3.025462401</v>
      </c>
      <c r="N611" s="6">
        <v>-8.84</v>
      </c>
      <c r="O611" s="7" t="s">
        <v>45</v>
      </c>
      <c r="P611" s="7" t="s">
        <v>46</v>
      </c>
      <c r="Q611" s="7" t="s">
        <v>25</v>
      </c>
      <c r="R611" s="10">
        <v>-17902.51</v>
      </c>
      <c r="S611" s="10">
        <v>-11508.01</v>
      </c>
      <c r="T611" s="9" t="s">
        <v>29</v>
      </c>
      <c r="U611" s="9"/>
      <c r="V611" s="9"/>
      <c r="W611" s="9"/>
      <c r="X611" s="9"/>
      <c r="Y611" s="9"/>
      <c r="Z611" s="9"/>
      <c r="AA611" s="9"/>
      <c r="AB611" s="9"/>
    </row>
    <row r="612">
      <c r="A612" s="5">
        <v>42248.0</v>
      </c>
      <c r="B612" s="6">
        <v>2015.0</v>
      </c>
      <c r="C612" s="7" t="s">
        <v>78</v>
      </c>
      <c r="D612" s="7" t="s">
        <v>31</v>
      </c>
      <c r="E612" s="7" t="s">
        <v>28</v>
      </c>
      <c r="F612" s="6">
        <v>11257.0</v>
      </c>
      <c r="G612" s="6">
        <v>384806.77</v>
      </c>
      <c r="H612" s="6">
        <v>34.18</v>
      </c>
      <c r="I612" s="8">
        <v>37.14147641467531</v>
      </c>
      <c r="J612" s="6">
        <v>418101.6</v>
      </c>
      <c r="K612" s="6">
        <v>-33294.83</v>
      </c>
      <c r="L612" s="6">
        <v>-8.65</v>
      </c>
      <c r="M612" s="6">
        <f t="shared" si="1"/>
        <v>-2.957700098</v>
      </c>
      <c r="N612" s="6">
        <v>-8.65</v>
      </c>
      <c r="O612" s="7" t="s">
        <v>45</v>
      </c>
      <c r="P612" s="7" t="s">
        <v>46</v>
      </c>
      <c r="Q612" s="7" t="s">
        <v>25</v>
      </c>
      <c r="R612" s="10">
        <v>-29410.52</v>
      </c>
      <c r="S612" s="10">
        <v>-3884.31</v>
      </c>
      <c r="T612" s="9" t="s">
        <v>29</v>
      </c>
      <c r="U612" s="9"/>
      <c r="V612" s="9"/>
      <c r="W612" s="9"/>
      <c r="X612" s="9"/>
      <c r="Y612" s="9"/>
      <c r="Z612" s="9"/>
      <c r="AA612" s="9"/>
      <c r="AB612" s="9"/>
    </row>
    <row r="613">
      <c r="A613" s="5">
        <v>42249.0</v>
      </c>
      <c r="B613" s="6">
        <v>2015.0</v>
      </c>
      <c r="C613" s="7" t="s">
        <v>78</v>
      </c>
      <c r="D613" s="7" t="s">
        <v>34</v>
      </c>
      <c r="E613" s="7" t="s">
        <v>32</v>
      </c>
      <c r="F613" s="6">
        <v>10102.0</v>
      </c>
      <c r="G613" s="6">
        <v>345776.25</v>
      </c>
      <c r="H613" s="6">
        <v>34.23</v>
      </c>
      <c r="I613" s="8">
        <v>37.00417442090675</v>
      </c>
      <c r="J613" s="6">
        <v>373816.17</v>
      </c>
      <c r="K613" s="6">
        <v>-28039.92</v>
      </c>
      <c r="L613" s="6">
        <v>-8.11</v>
      </c>
      <c r="M613" s="6">
        <f t="shared" si="1"/>
        <v>-2.775680063</v>
      </c>
      <c r="N613" s="6">
        <v>-8.11</v>
      </c>
      <c r="O613" s="7" t="s">
        <v>45</v>
      </c>
      <c r="P613" s="7" t="s">
        <v>46</v>
      </c>
      <c r="Q613" s="7" t="s">
        <v>25</v>
      </c>
      <c r="R613" s="10">
        <v>-33294.83</v>
      </c>
      <c r="S613" s="10">
        <v>5254.91</v>
      </c>
      <c r="T613" s="9" t="s">
        <v>33</v>
      </c>
      <c r="U613" s="9"/>
      <c r="V613" s="9"/>
      <c r="W613" s="9"/>
      <c r="X613" s="9"/>
      <c r="Y613" s="9"/>
      <c r="Z613" s="9"/>
      <c r="AA613" s="9"/>
      <c r="AB613" s="9"/>
    </row>
    <row r="614">
      <c r="A614" s="5">
        <v>42250.0</v>
      </c>
      <c r="B614" s="6">
        <v>2015.0</v>
      </c>
      <c r="C614" s="7" t="s">
        <v>78</v>
      </c>
      <c r="D614" s="7" t="s">
        <v>36</v>
      </c>
      <c r="E614" s="7" t="s">
        <v>35</v>
      </c>
      <c r="F614" s="6">
        <v>7938.0</v>
      </c>
      <c r="G614" s="6">
        <v>271551.1</v>
      </c>
      <c r="H614" s="6">
        <v>34.21</v>
      </c>
      <c r="I614" s="8">
        <v>36.954380196523054</v>
      </c>
      <c r="J614" s="6">
        <v>293343.87</v>
      </c>
      <c r="K614" s="6">
        <v>-21792.78</v>
      </c>
      <c r="L614" s="6">
        <v>-8.03</v>
      </c>
      <c r="M614" s="6">
        <f t="shared" si="1"/>
        <v>-2.74537415</v>
      </c>
      <c r="N614" s="6">
        <v>-8.03</v>
      </c>
      <c r="O614" s="7" t="s">
        <v>45</v>
      </c>
      <c r="P614" s="7" t="s">
        <v>46</v>
      </c>
      <c r="Q614" s="7" t="s">
        <v>25</v>
      </c>
      <c r="R614" s="10">
        <v>-28039.92</v>
      </c>
      <c r="S614" s="10">
        <v>6247.14</v>
      </c>
      <c r="T614" s="9" t="s">
        <v>33</v>
      </c>
      <c r="U614" s="9"/>
      <c r="V614" s="9"/>
      <c r="W614" s="9"/>
      <c r="X614" s="9"/>
      <c r="Y614" s="9"/>
      <c r="Z614" s="9"/>
      <c r="AA614" s="9"/>
      <c r="AB614" s="9"/>
    </row>
    <row r="615">
      <c r="A615" s="5">
        <v>42251.0</v>
      </c>
      <c r="B615" s="6">
        <v>2015.0</v>
      </c>
      <c r="C615" s="7" t="s">
        <v>78</v>
      </c>
      <c r="D615" s="7" t="s">
        <v>38</v>
      </c>
      <c r="E615" s="7" t="s">
        <v>37</v>
      </c>
      <c r="F615" s="6">
        <v>9936.0</v>
      </c>
      <c r="G615" s="6">
        <v>340440.21</v>
      </c>
      <c r="H615" s="6">
        <v>34.26</v>
      </c>
      <c r="I615" s="8">
        <v>36.87194645732689</v>
      </c>
      <c r="J615" s="6">
        <v>366359.66</v>
      </c>
      <c r="K615" s="6">
        <v>-25919.45</v>
      </c>
      <c r="L615" s="6">
        <v>-7.61</v>
      </c>
      <c r="M615" s="6">
        <f t="shared" si="1"/>
        <v>-2.608640298</v>
      </c>
      <c r="N615" s="6">
        <v>-7.61</v>
      </c>
      <c r="O615" s="7" t="s">
        <v>45</v>
      </c>
      <c r="P615" s="7" t="s">
        <v>46</v>
      </c>
      <c r="Q615" s="7" t="s">
        <v>25</v>
      </c>
      <c r="R615" s="10">
        <v>-21792.78</v>
      </c>
      <c r="S615" s="10">
        <v>-4126.67</v>
      </c>
      <c r="T615" s="9" t="s">
        <v>29</v>
      </c>
      <c r="U615" s="9"/>
      <c r="V615" s="9"/>
      <c r="W615" s="9"/>
      <c r="X615" s="9"/>
      <c r="Y615" s="9"/>
      <c r="Z615" s="9"/>
      <c r="AA615" s="9"/>
      <c r="AB615" s="9"/>
    </row>
    <row r="616">
      <c r="A616" s="5">
        <v>42252.0</v>
      </c>
      <c r="B616" s="6">
        <v>2015.0</v>
      </c>
      <c r="C616" s="7" t="s">
        <v>78</v>
      </c>
      <c r="D616" s="7" t="s">
        <v>40</v>
      </c>
      <c r="E616" s="7" t="s">
        <v>39</v>
      </c>
      <c r="F616" s="6">
        <v>10643.0</v>
      </c>
      <c r="G616" s="6">
        <v>364416.73</v>
      </c>
      <c r="H616" s="6">
        <v>34.24</v>
      </c>
      <c r="I616" s="8">
        <v>36.843775251338904</v>
      </c>
      <c r="J616" s="6">
        <v>392128.3</v>
      </c>
      <c r="K616" s="6">
        <v>-27711.57</v>
      </c>
      <c r="L616" s="6">
        <v>-7.6</v>
      </c>
      <c r="M616" s="6">
        <f t="shared" si="1"/>
        <v>-2.603736728</v>
      </c>
      <c r="N616" s="6">
        <v>-7.6</v>
      </c>
      <c r="O616" s="7" t="s">
        <v>45</v>
      </c>
      <c r="P616" s="7" t="s">
        <v>46</v>
      </c>
      <c r="Q616" s="7" t="s">
        <v>25</v>
      </c>
      <c r="R616" s="10">
        <v>-25919.45</v>
      </c>
      <c r="S616" s="10">
        <v>-1792.12</v>
      </c>
      <c r="T616" s="9" t="s">
        <v>29</v>
      </c>
      <c r="U616" s="9"/>
      <c r="V616" s="9"/>
      <c r="W616" s="9"/>
      <c r="X616" s="9"/>
      <c r="Y616" s="9"/>
      <c r="Z616" s="9"/>
      <c r="AA616" s="9"/>
      <c r="AB616" s="9"/>
    </row>
    <row r="617">
      <c r="A617" s="5">
        <v>42253.0</v>
      </c>
      <c r="B617" s="6">
        <v>2015.0</v>
      </c>
      <c r="C617" s="7" t="s">
        <v>78</v>
      </c>
      <c r="D617" s="7" t="s">
        <v>42</v>
      </c>
      <c r="E617" s="7" t="s">
        <v>41</v>
      </c>
      <c r="F617" s="6">
        <v>4800.0</v>
      </c>
      <c r="G617" s="6">
        <v>164719.6</v>
      </c>
      <c r="H617" s="6">
        <v>34.32</v>
      </c>
      <c r="I617" s="8">
        <v>36.801633333333335</v>
      </c>
      <c r="J617" s="6">
        <v>176647.84</v>
      </c>
      <c r="K617" s="6">
        <v>-11928.24</v>
      </c>
      <c r="L617" s="6">
        <v>-7.24</v>
      </c>
      <c r="M617" s="6">
        <f t="shared" si="1"/>
        <v>-2.48505</v>
      </c>
      <c r="N617" s="6">
        <v>-7.24</v>
      </c>
      <c r="O617" s="7" t="s">
        <v>45</v>
      </c>
      <c r="P617" s="7" t="s">
        <v>46</v>
      </c>
      <c r="Q617" s="7" t="s">
        <v>25</v>
      </c>
      <c r="R617" s="10">
        <v>-27711.57</v>
      </c>
      <c r="S617" s="10">
        <v>15783.33</v>
      </c>
      <c r="T617" s="9" t="s">
        <v>33</v>
      </c>
      <c r="U617" s="9"/>
      <c r="V617" s="9"/>
      <c r="W617" s="9"/>
      <c r="X617" s="9"/>
      <c r="Y617" s="9"/>
      <c r="Z617" s="9"/>
      <c r="AA617" s="9"/>
      <c r="AB617" s="9"/>
    </row>
    <row r="618">
      <c r="A618" s="5">
        <v>42254.0</v>
      </c>
      <c r="B618" s="6">
        <v>2015.0</v>
      </c>
      <c r="C618" s="7" t="s">
        <v>78</v>
      </c>
      <c r="D618" s="7" t="s">
        <v>43</v>
      </c>
      <c r="E618" s="7" t="s">
        <v>22</v>
      </c>
      <c r="F618" s="6">
        <v>5228.0</v>
      </c>
      <c r="G618" s="6">
        <v>178921.1</v>
      </c>
      <c r="H618" s="6">
        <v>34.22</v>
      </c>
      <c r="I618" s="8">
        <v>36.822404361132364</v>
      </c>
      <c r="J618" s="6">
        <v>192507.53</v>
      </c>
      <c r="K618" s="6">
        <v>-13586.43</v>
      </c>
      <c r="L618" s="6">
        <v>-7.59</v>
      </c>
      <c r="M618" s="6">
        <f t="shared" si="1"/>
        <v>-2.598781561</v>
      </c>
      <c r="N618" s="6">
        <v>-7.59</v>
      </c>
      <c r="O618" s="7" t="s">
        <v>45</v>
      </c>
      <c r="P618" s="7" t="s">
        <v>46</v>
      </c>
      <c r="Q618" s="7" t="s">
        <v>25</v>
      </c>
      <c r="R618" s="10">
        <v>-11928.24</v>
      </c>
      <c r="S618" s="10">
        <v>-1658.19</v>
      </c>
      <c r="T618" s="9" t="s">
        <v>29</v>
      </c>
      <c r="U618" s="9"/>
      <c r="V618" s="9"/>
      <c r="W618" s="9"/>
      <c r="X618" s="9"/>
      <c r="Y618" s="9"/>
      <c r="Z618" s="9"/>
      <c r="AA618" s="9"/>
      <c r="AB618" s="9"/>
    </row>
    <row r="619">
      <c r="A619" s="5">
        <v>42255.0</v>
      </c>
      <c r="B619" s="6">
        <v>2015.0</v>
      </c>
      <c r="C619" s="7" t="s">
        <v>78</v>
      </c>
      <c r="D619" s="7" t="s">
        <v>44</v>
      </c>
      <c r="E619" s="7" t="s">
        <v>28</v>
      </c>
      <c r="F619" s="6">
        <v>1810.0</v>
      </c>
      <c r="G619" s="6">
        <v>70287.0</v>
      </c>
      <c r="H619" s="6">
        <v>38.83</v>
      </c>
      <c r="I619" s="8">
        <v>36.817513812154694</v>
      </c>
      <c r="J619" s="6">
        <v>66639.7</v>
      </c>
      <c r="K619" s="6">
        <v>3647.3</v>
      </c>
      <c r="L619" s="6">
        <v>5.19</v>
      </c>
      <c r="M619" s="6">
        <f t="shared" si="1"/>
        <v>2.015082873</v>
      </c>
      <c r="N619" s="6">
        <v>5.19</v>
      </c>
      <c r="O619" s="7" t="s">
        <v>45</v>
      </c>
      <c r="P619" s="7" t="s">
        <v>46</v>
      </c>
      <c r="Q619" s="7" t="s">
        <v>25</v>
      </c>
      <c r="R619" s="10">
        <v>-13586.43</v>
      </c>
      <c r="S619" s="10">
        <v>17233.73</v>
      </c>
      <c r="T619" s="9" t="s">
        <v>33</v>
      </c>
      <c r="U619" s="9"/>
      <c r="V619" s="9"/>
      <c r="W619" s="9"/>
      <c r="X619" s="9"/>
      <c r="Y619" s="9"/>
      <c r="Z619" s="9"/>
      <c r="AA619" s="9"/>
      <c r="AB619" s="9"/>
    </row>
    <row r="620">
      <c r="A620" s="5">
        <v>42256.0</v>
      </c>
      <c r="B620" s="6">
        <v>2015.0</v>
      </c>
      <c r="C620" s="7" t="s">
        <v>78</v>
      </c>
      <c r="D620" s="7" t="s">
        <v>47</v>
      </c>
      <c r="E620" s="7" t="s">
        <v>32</v>
      </c>
      <c r="F620" s="6">
        <v>1961.0</v>
      </c>
      <c r="G620" s="6">
        <v>76013.68</v>
      </c>
      <c r="H620" s="6">
        <v>38.76</v>
      </c>
      <c r="I620" s="8">
        <v>36.82361040285569</v>
      </c>
      <c r="J620" s="6">
        <v>72211.1</v>
      </c>
      <c r="K620" s="6">
        <v>3802.57</v>
      </c>
      <c r="L620" s="6">
        <v>5.0</v>
      </c>
      <c r="M620" s="6">
        <f t="shared" si="1"/>
        <v>1.939097399</v>
      </c>
      <c r="N620" s="6">
        <v>5.0</v>
      </c>
      <c r="O620" s="7" t="s">
        <v>45</v>
      </c>
      <c r="P620" s="7" t="s">
        <v>46</v>
      </c>
      <c r="Q620" s="7" t="s">
        <v>25</v>
      </c>
      <c r="R620" s="10">
        <v>3647.3</v>
      </c>
      <c r="S620" s="10">
        <v>155.27</v>
      </c>
      <c r="T620" s="9" t="s">
        <v>33</v>
      </c>
      <c r="U620" s="9"/>
      <c r="V620" s="9"/>
      <c r="W620" s="9"/>
      <c r="X620" s="9"/>
      <c r="Y620" s="9"/>
      <c r="Z620" s="9"/>
      <c r="AA620" s="9"/>
      <c r="AB620" s="9"/>
    </row>
    <row r="621">
      <c r="A621" s="5">
        <v>42257.0</v>
      </c>
      <c r="B621" s="6">
        <v>2015.0</v>
      </c>
      <c r="C621" s="7" t="s">
        <v>78</v>
      </c>
      <c r="D621" s="7" t="s">
        <v>48</v>
      </c>
      <c r="E621" s="7" t="s">
        <v>35</v>
      </c>
      <c r="F621" s="6">
        <v>1232.0</v>
      </c>
      <c r="G621" s="6">
        <v>48406.79</v>
      </c>
      <c r="H621" s="6">
        <v>39.29</v>
      </c>
      <c r="I621" s="8">
        <v>36.78290584415584</v>
      </c>
      <c r="J621" s="6">
        <v>45316.54</v>
      </c>
      <c r="K621" s="6">
        <v>3090.24</v>
      </c>
      <c r="L621" s="6">
        <v>6.38</v>
      </c>
      <c r="M621" s="6">
        <f t="shared" si="1"/>
        <v>2.508311688</v>
      </c>
      <c r="N621" s="6">
        <v>6.38</v>
      </c>
      <c r="O621" s="7" t="s">
        <v>45</v>
      </c>
      <c r="P621" s="7" t="s">
        <v>46</v>
      </c>
      <c r="Q621" s="7" t="s">
        <v>25</v>
      </c>
      <c r="R621" s="10">
        <v>3802.57</v>
      </c>
      <c r="S621" s="10">
        <v>-712.33</v>
      </c>
      <c r="T621" s="9" t="s">
        <v>29</v>
      </c>
      <c r="U621" s="9"/>
      <c r="V621" s="9"/>
      <c r="W621" s="9"/>
      <c r="X621" s="9"/>
      <c r="Y621" s="9"/>
      <c r="Z621" s="9"/>
      <c r="AA621" s="9"/>
      <c r="AB621" s="9"/>
    </row>
    <row r="622">
      <c r="A622" s="5">
        <v>42258.0</v>
      </c>
      <c r="B622" s="6">
        <v>2015.0</v>
      </c>
      <c r="C622" s="7" t="s">
        <v>78</v>
      </c>
      <c r="D622" s="7" t="s">
        <v>49</v>
      </c>
      <c r="E622" s="7" t="s">
        <v>37</v>
      </c>
      <c r="F622" s="6">
        <v>2194.0</v>
      </c>
      <c r="G622" s="6">
        <v>85940.03</v>
      </c>
      <c r="H622" s="6">
        <v>39.17</v>
      </c>
      <c r="I622" s="8">
        <v>37.17404284412033</v>
      </c>
      <c r="J622" s="6">
        <v>81559.85</v>
      </c>
      <c r="K622" s="6">
        <v>4380.18</v>
      </c>
      <c r="L622" s="6">
        <v>5.1</v>
      </c>
      <c r="M622" s="6">
        <f t="shared" si="1"/>
        <v>1.996435734</v>
      </c>
      <c r="N622" s="6">
        <v>5.1</v>
      </c>
      <c r="O622" s="7" t="s">
        <v>45</v>
      </c>
      <c r="P622" s="7" t="s">
        <v>46</v>
      </c>
      <c r="Q622" s="7" t="s">
        <v>25</v>
      </c>
      <c r="R622" s="10">
        <v>3090.24</v>
      </c>
      <c r="S622" s="10">
        <v>1289.94</v>
      </c>
      <c r="T622" s="9" t="s">
        <v>33</v>
      </c>
      <c r="U622" s="9"/>
      <c r="V622" s="9"/>
      <c r="W622" s="9"/>
      <c r="X622" s="9"/>
      <c r="Y622" s="9"/>
      <c r="Z622" s="9"/>
      <c r="AA622" s="9"/>
      <c r="AB622" s="9"/>
    </row>
    <row r="623">
      <c r="A623" s="5">
        <v>42259.0</v>
      </c>
      <c r="B623" s="6">
        <v>2015.0</v>
      </c>
      <c r="C623" s="7" t="s">
        <v>78</v>
      </c>
      <c r="D623" s="7" t="s">
        <v>50</v>
      </c>
      <c r="E623" s="7" t="s">
        <v>39</v>
      </c>
      <c r="F623" s="6">
        <v>1469.0</v>
      </c>
      <c r="G623" s="6">
        <v>57381.75</v>
      </c>
      <c r="H623" s="6">
        <v>39.06</v>
      </c>
      <c r="I623" s="8">
        <v>36.991756296800546</v>
      </c>
      <c r="J623" s="6">
        <v>54340.89</v>
      </c>
      <c r="K623" s="6">
        <v>3040.86</v>
      </c>
      <c r="L623" s="6">
        <v>5.3</v>
      </c>
      <c r="M623" s="6">
        <f t="shared" si="1"/>
        <v>2.070020422</v>
      </c>
      <c r="N623" s="6">
        <v>5.3</v>
      </c>
      <c r="O623" s="7" t="s">
        <v>45</v>
      </c>
      <c r="P623" s="7" t="s">
        <v>46</v>
      </c>
      <c r="Q623" s="7" t="s">
        <v>25</v>
      </c>
      <c r="R623" s="10">
        <v>4380.18</v>
      </c>
      <c r="S623" s="10">
        <v>-1339.32</v>
      </c>
      <c r="T623" s="9" t="s">
        <v>29</v>
      </c>
      <c r="U623" s="9"/>
      <c r="V623" s="9"/>
      <c r="W623" s="9"/>
      <c r="X623" s="9"/>
      <c r="Y623" s="9"/>
      <c r="Z623" s="9"/>
      <c r="AA623" s="9"/>
      <c r="AB623" s="9"/>
    </row>
    <row r="624">
      <c r="A624" s="5">
        <v>42260.0</v>
      </c>
      <c r="B624" s="6">
        <v>2015.0</v>
      </c>
      <c r="C624" s="7" t="s">
        <v>78</v>
      </c>
      <c r="D624" s="7" t="s">
        <v>51</v>
      </c>
      <c r="E624" s="7" t="s">
        <v>41</v>
      </c>
      <c r="F624" s="6">
        <v>829.0</v>
      </c>
      <c r="G624" s="6">
        <v>32479.8</v>
      </c>
      <c r="H624" s="6">
        <v>39.18</v>
      </c>
      <c r="I624" s="8">
        <v>37.109396863691195</v>
      </c>
      <c r="J624" s="6">
        <v>30763.69</v>
      </c>
      <c r="K624" s="6">
        <v>1716.11</v>
      </c>
      <c r="L624" s="6">
        <v>5.28</v>
      </c>
      <c r="M624" s="6">
        <f t="shared" si="1"/>
        <v>2.070096502</v>
      </c>
      <c r="N624" s="6">
        <v>5.28</v>
      </c>
      <c r="O624" s="7" t="s">
        <v>45</v>
      </c>
      <c r="P624" s="7" t="s">
        <v>46</v>
      </c>
      <c r="Q624" s="7" t="s">
        <v>25</v>
      </c>
      <c r="R624" s="10">
        <v>3040.86</v>
      </c>
      <c r="S624" s="10">
        <v>-1324.75</v>
      </c>
      <c r="T624" s="9" t="s">
        <v>29</v>
      </c>
      <c r="U624" s="9"/>
      <c r="V624" s="9"/>
      <c r="W624" s="9"/>
      <c r="X624" s="9"/>
      <c r="Y624" s="9"/>
      <c r="Z624" s="9"/>
      <c r="AA624" s="9"/>
      <c r="AB624" s="9"/>
    </row>
    <row r="625">
      <c r="A625" s="5">
        <v>42261.0</v>
      </c>
      <c r="B625" s="6">
        <v>2015.0</v>
      </c>
      <c r="C625" s="7" t="s">
        <v>78</v>
      </c>
      <c r="D625" s="7" t="s">
        <v>52</v>
      </c>
      <c r="E625" s="7" t="s">
        <v>22</v>
      </c>
      <c r="F625" s="6">
        <v>1329.0</v>
      </c>
      <c r="G625" s="6">
        <v>52160.18</v>
      </c>
      <c r="H625" s="6">
        <v>39.25</v>
      </c>
      <c r="I625" s="8">
        <v>37.36343867569602</v>
      </c>
      <c r="J625" s="6">
        <v>49656.01</v>
      </c>
      <c r="K625" s="6">
        <v>2504.18</v>
      </c>
      <c r="L625" s="6">
        <v>4.8</v>
      </c>
      <c r="M625" s="6">
        <f t="shared" si="1"/>
        <v>1.884258841</v>
      </c>
      <c r="N625" s="6">
        <v>4.8</v>
      </c>
      <c r="O625" s="7" t="s">
        <v>45</v>
      </c>
      <c r="P625" s="7" t="s">
        <v>46</v>
      </c>
      <c r="Q625" s="7" t="s">
        <v>25</v>
      </c>
      <c r="R625" s="10">
        <v>1716.11</v>
      </c>
      <c r="S625" s="10">
        <v>788.07</v>
      </c>
      <c r="T625" s="9" t="s">
        <v>33</v>
      </c>
      <c r="U625" s="9"/>
      <c r="V625" s="9"/>
      <c r="W625" s="9"/>
      <c r="X625" s="9"/>
      <c r="Y625" s="9"/>
      <c r="Z625" s="9"/>
      <c r="AA625" s="9"/>
      <c r="AB625" s="9"/>
    </row>
    <row r="626">
      <c r="A626" s="5">
        <v>42262.0</v>
      </c>
      <c r="B626" s="6">
        <v>2015.0</v>
      </c>
      <c r="C626" s="7" t="s">
        <v>78</v>
      </c>
      <c r="D626" s="7" t="s">
        <v>53</v>
      </c>
      <c r="E626" s="7" t="s">
        <v>28</v>
      </c>
      <c r="F626" s="6">
        <v>1300.0</v>
      </c>
      <c r="G626" s="6">
        <v>51002.84</v>
      </c>
      <c r="H626" s="6">
        <v>39.23</v>
      </c>
      <c r="I626" s="8">
        <v>37.38613076923077</v>
      </c>
      <c r="J626" s="6">
        <v>48601.97</v>
      </c>
      <c r="K626" s="6">
        <v>2400.87</v>
      </c>
      <c r="L626" s="6">
        <v>4.71</v>
      </c>
      <c r="M626" s="6">
        <f t="shared" si="1"/>
        <v>1.846823077</v>
      </c>
      <c r="N626" s="6">
        <v>4.71</v>
      </c>
      <c r="O626" s="7" t="s">
        <v>45</v>
      </c>
      <c r="P626" s="7" t="s">
        <v>46</v>
      </c>
      <c r="Q626" s="7" t="s">
        <v>25</v>
      </c>
      <c r="R626" s="10">
        <v>2504.18</v>
      </c>
      <c r="S626" s="10">
        <v>-103.3</v>
      </c>
      <c r="T626" s="9" t="s">
        <v>29</v>
      </c>
      <c r="U626" s="9"/>
      <c r="V626" s="9"/>
      <c r="W626" s="9"/>
      <c r="X626" s="9"/>
      <c r="Y626" s="9"/>
      <c r="Z626" s="9"/>
      <c r="AA626" s="9"/>
      <c r="AB626" s="9"/>
    </row>
    <row r="627">
      <c r="A627" s="5">
        <v>42263.0</v>
      </c>
      <c r="B627" s="6">
        <v>2015.0</v>
      </c>
      <c r="C627" s="7" t="s">
        <v>78</v>
      </c>
      <c r="D627" s="7" t="s">
        <v>54</v>
      </c>
      <c r="E627" s="7" t="s">
        <v>32</v>
      </c>
      <c r="F627" s="6">
        <v>773.0</v>
      </c>
      <c r="G627" s="6">
        <v>30194.72</v>
      </c>
      <c r="H627" s="6">
        <v>39.06</v>
      </c>
      <c r="I627" s="8">
        <v>37.005769728331174</v>
      </c>
      <c r="J627" s="6">
        <v>28605.46</v>
      </c>
      <c r="K627" s="6">
        <v>1589.26</v>
      </c>
      <c r="L627" s="6">
        <v>5.26</v>
      </c>
      <c r="M627" s="6">
        <f t="shared" si="1"/>
        <v>2.055963777</v>
      </c>
      <c r="N627" s="6">
        <v>5.26</v>
      </c>
      <c r="O627" s="7" t="s">
        <v>45</v>
      </c>
      <c r="P627" s="7" t="s">
        <v>46</v>
      </c>
      <c r="Q627" s="7" t="s">
        <v>25</v>
      </c>
      <c r="R627" s="10">
        <v>2400.87</v>
      </c>
      <c r="S627" s="10">
        <v>-811.62</v>
      </c>
      <c r="T627" s="9" t="s">
        <v>29</v>
      </c>
      <c r="U627" s="9"/>
      <c r="V627" s="9"/>
      <c r="W627" s="9"/>
      <c r="X627" s="9"/>
      <c r="Y627" s="9"/>
      <c r="Z627" s="9"/>
      <c r="AA627" s="9"/>
      <c r="AB627" s="9"/>
    </row>
    <row r="628">
      <c r="A628" s="5">
        <v>42264.0</v>
      </c>
      <c r="B628" s="6">
        <v>2015.0</v>
      </c>
      <c r="C628" s="7" t="s">
        <v>78</v>
      </c>
      <c r="D628" s="7" t="s">
        <v>55</v>
      </c>
      <c r="E628" s="7" t="s">
        <v>35</v>
      </c>
      <c r="F628" s="6">
        <v>760.0</v>
      </c>
      <c r="G628" s="6">
        <v>29751.22</v>
      </c>
      <c r="H628" s="6">
        <v>39.15</v>
      </c>
      <c r="I628" s="8">
        <v>36.95294736842106</v>
      </c>
      <c r="J628" s="6">
        <v>28084.24</v>
      </c>
      <c r="K628" s="6">
        <v>1666.99</v>
      </c>
      <c r="L628" s="6">
        <v>5.6</v>
      </c>
      <c r="M628" s="6">
        <f t="shared" si="1"/>
        <v>2.193407895</v>
      </c>
      <c r="N628" s="6">
        <v>5.6</v>
      </c>
      <c r="O628" s="7" t="s">
        <v>45</v>
      </c>
      <c r="P628" s="7" t="s">
        <v>46</v>
      </c>
      <c r="Q628" s="7" t="s">
        <v>25</v>
      </c>
      <c r="R628" s="10">
        <v>1589.26</v>
      </c>
      <c r="S628" s="10">
        <v>77.73</v>
      </c>
      <c r="T628" s="9" t="s">
        <v>33</v>
      </c>
      <c r="U628" s="9"/>
      <c r="V628" s="9"/>
      <c r="W628" s="9"/>
      <c r="X628" s="9"/>
      <c r="Y628" s="9"/>
      <c r="Z628" s="9"/>
      <c r="AA628" s="9"/>
      <c r="AB628" s="9"/>
    </row>
    <row r="629">
      <c r="A629" s="5">
        <v>42265.0</v>
      </c>
      <c r="B629" s="6">
        <v>2015.0</v>
      </c>
      <c r="C629" s="7" t="s">
        <v>78</v>
      </c>
      <c r="D629" s="7" t="s">
        <v>56</v>
      </c>
      <c r="E629" s="7" t="s">
        <v>37</v>
      </c>
      <c r="F629" s="6">
        <v>1755.0</v>
      </c>
      <c r="G629" s="6">
        <v>68504.64</v>
      </c>
      <c r="H629" s="6">
        <v>39.03</v>
      </c>
      <c r="I629" s="8">
        <v>36.969789173789174</v>
      </c>
      <c r="J629" s="6">
        <v>64881.98</v>
      </c>
      <c r="K629" s="6">
        <v>3622.66</v>
      </c>
      <c r="L629" s="6">
        <v>5.29</v>
      </c>
      <c r="M629" s="6">
        <f t="shared" si="1"/>
        <v>2.064193732</v>
      </c>
      <c r="N629" s="6">
        <v>5.29</v>
      </c>
      <c r="O629" s="7" t="s">
        <v>45</v>
      </c>
      <c r="P629" s="7" t="s">
        <v>46</v>
      </c>
      <c r="Q629" s="7" t="s">
        <v>25</v>
      </c>
      <c r="R629" s="10">
        <v>1666.99</v>
      </c>
      <c r="S629" s="10">
        <v>1955.68</v>
      </c>
      <c r="T629" s="9" t="s">
        <v>33</v>
      </c>
      <c r="U629" s="9"/>
      <c r="V629" s="9"/>
      <c r="W629" s="9"/>
      <c r="X629" s="9"/>
      <c r="Y629" s="9"/>
      <c r="Z629" s="9"/>
      <c r="AA629" s="9"/>
      <c r="AB629" s="9"/>
    </row>
    <row r="630">
      <c r="A630" s="5">
        <v>42266.0</v>
      </c>
      <c r="B630" s="6">
        <v>2015.0</v>
      </c>
      <c r="C630" s="7" t="s">
        <v>78</v>
      </c>
      <c r="D630" s="7" t="s">
        <v>57</v>
      </c>
      <c r="E630" s="7" t="s">
        <v>39</v>
      </c>
      <c r="F630" s="6">
        <v>1766.0</v>
      </c>
      <c r="G630" s="6">
        <v>68996.56</v>
      </c>
      <c r="H630" s="6">
        <v>39.07</v>
      </c>
      <c r="I630" s="8">
        <v>36.92614382785957</v>
      </c>
      <c r="J630" s="6">
        <v>65211.57</v>
      </c>
      <c r="K630" s="6">
        <v>3784.99</v>
      </c>
      <c r="L630" s="6">
        <v>5.49</v>
      </c>
      <c r="M630" s="6">
        <f t="shared" si="1"/>
        <v>2.143255946</v>
      </c>
      <c r="N630" s="6">
        <v>5.49</v>
      </c>
      <c r="O630" s="7" t="s">
        <v>45</v>
      </c>
      <c r="P630" s="7" t="s">
        <v>46</v>
      </c>
      <c r="Q630" s="7" t="s">
        <v>25</v>
      </c>
      <c r="R630" s="10">
        <v>3622.66</v>
      </c>
      <c r="S630" s="10">
        <v>162.33</v>
      </c>
      <c r="T630" s="9" t="s">
        <v>33</v>
      </c>
      <c r="U630" s="9"/>
      <c r="V630" s="9"/>
      <c r="W630" s="9"/>
      <c r="X630" s="9"/>
      <c r="Y630" s="9"/>
      <c r="Z630" s="9"/>
      <c r="AA630" s="9"/>
      <c r="AB630" s="9"/>
    </row>
    <row r="631">
      <c r="A631" s="5">
        <v>42267.0</v>
      </c>
      <c r="B631" s="6">
        <v>2015.0</v>
      </c>
      <c r="C631" s="7" t="s">
        <v>78</v>
      </c>
      <c r="D631" s="7" t="s">
        <v>58</v>
      </c>
      <c r="E631" s="7" t="s">
        <v>41</v>
      </c>
      <c r="F631" s="6">
        <v>1078.0</v>
      </c>
      <c r="G631" s="6">
        <v>41855.93</v>
      </c>
      <c r="H631" s="6">
        <v>38.83</v>
      </c>
      <c r="I631" s="8">
        <v>36.76201298701299</v>
      </c>
      <c r="J631" s="6">
        <v>39629.45</v>
      </c>
      <c r="K631" s="6">
        <v>2226.48</v>
      </c>
      <c r="L631" s="6">
        <v>5.32</v>
      </c>
      <c r="M631" s="6">
        <f t="shared" si="1"/>
        <v>2.065380334</v>
      </c>
      <c r="N631" s="6">
        <v>5.32</v>
      </c>
      <c r="O631" s="7" t="s">
        <v>45</v>
      </c>
      <c r="P631" s="7" t="s">
        <v>46</v>
      </c>
      <c r="Q631" s="7" t="s">
        <v>25</v>
      </c>
      <c r="R631" s="10">
        <v>3784.99</v>
      </c>
      <c r="S631" s="10">
        <v>-1558.51</v>
      </c>
      <c r="T631" s="9" t="s">
        <v>29</v>
      </c>
      <c r="U631" s="9"/>
      <c r="V631" s="9"/>
      <c r="W631" s="9"/>
      <c r="X631" s="9"/>
      <c r="Y631" s="9"/>
      <c r="Z631" s="9"/>
      <c r="AA631" s="9"/>
      <c r="AB631" s="9"/>
    </row>
    <row r="632">
      <c r="A632" s="5">
        <v>42268.0</v>
      </c>
      <c r="B632" s="6">
        <v>2015.0</v>
      </c>
      <c r="C632" s="7" t="s">
        <v>78</v>
      </c>
      <c r="D632" s="7" t="s">
        <v>59</v>
      </c>
      <c r="E632" s="7" t="s">
        <v>22</v>
      </c>
      <c r="F632" s="6">
        <v>1124.0</v>
      </c>
      <c r="G632" s="6">
        <v>44303.47</v>
      </c>
      <c r="H632" s="6">
        <v>39.42</v>
      </c>
      <c r="I632" s="8">
        <v>36.908772241992885</v>
      </c>
      <c r="J632" s="6">
        <v>41485.46</v>
      </c>
      <c r="K632" s="6">
        <v>2818.01</v>
      </c>
      <c r="L632" s="6">
        <v>6.36</v>
      </c>
      <c r="M632" s="6">
        <f t="shared" si="1"/>
        <v>2.507126335</v>
      </c>
      <c r="N632" s="6">
        <v>6.36</v>
      </c>
      <c r="O632" s="7" t="s">
        <v>45</v>
      </c>
      <c r="P632" s="7" t="s">
        <v>46</v>
      </c>
      <c r="Q632" s="7" t="s">
        <v>25</v>
      </c>
      <c r="R632" s="10">
        <v>2226.48</v>
      </c>
      <c r="S632" s="10">
        <v>591.53</v>
      </c>
      <c r="T632" s="9" t="s">
        <v>33</v>
      </c>
      <c r="U632" s="9"/>
      <c r="V632" s="9"/>
      <c r="W632" s="9"/>
      <c r="X632" s="9"/>
      <c r="Y632" s="9"/>
      <c r="Z632" s="9"/>
      <c r="AA632" s="9"/>
      <c r="AB632" s="9"/>
    </row>
    <row r="633">
      <c r="A633" s="5">
        <v>42269.0</v>
      </c>
      <c r="B633" s="6">
        <v>2015.0</v>
      </c>
      <c r="C633" s="7" t="s">
        <v>78</v>
      </c>
      <c r="D633" s="7" t="s">
        <v>60</v>
      </c>
      <c r="E633" s="7" t="s">
        <v>28</v>
      </c>
      <c r="F633" s="6">
        <v>1182.0</v>
      </c>
      <c r="G633" s="6">
        <v>46599.3</v>
      </c>
      <c r="H633" s="6">
        <v>39.42</v>
      </c>
      <c r="I633" s="8">
        <v>37.06153130287648</v>
      </c>
      <c r="J633" s="6">
        <v>43806.73</v>
      </c>
      <c r="K633" s="6">
        <v>2792.57</v>
      </c>
      <c r="L633" s="6">
        <v>5.99</v>
      </c>
      <c r="M633" s="6">
        <f t="shared" si="1"/>
        <v>2.362580372</v>
      </c>
      <c r="N633" s="6">
        <v>5.99</v>
      </c>
      <c r="O633" s="7" t="s">
        <v>45</v>
      </c>
      <c r="P633" s="7" t="s">
        <v>46</v>
      </c>
      <c r="Q633" s="7" t="s">
        <v>25</v>
      </c>
      <c r="R633" s="10">
        <v>2818.01</v>
      </c>
      <c r="S633" s="10">
        <v>-25.44</v>
      </c>
      <c r="T633" s="9" t="s">
        <v>29</v>
      </c>
      <c r="U633" s="9"/>
      <c r="V633" s="9"/>
      <c r="W633" s="9"/>
      <c r="X633" s="9"/>
      <c r="Y633" s="9"/>
      <c r="Z633" s="9"/>
      <c r="AA633" s="9"/>
      <c r="AB633" s="9"/>
    </row>
    <row r="634">
      <c r="A634" s="5">
        <v>42270.0</v>
      </c>
      <c r="B634" s="6">
        <v>2015.0</v>
      </c>
      <c r="C634" s="7" t="s">
        <v>78</v>
      </c>
      <c r="D634" s="7" t="s">
        <v>61</v>
      </c>
      <c r="E634" s="7" t="s">
        <v>32</v>
      </c>
      <c r="F634" s="6">
        <v>3725.0</v>
      </c>
      <c r="G634" s="6">
        <v>125182.76</v>
      </c>
      <c r="H634" s="6">
        <v>33.61</v>
      </c>
      <c r="I634" s="8">
        <v>37.20371543624161</v>
      </c>
      <c r="J634" s="6">
        <v>138583.84</v>
      </c>
      <c r="K634" s="6">
        <v>-13401.08</v>
      </c>
      <c r="L634" s="6">
        <v>-10.71</v>
      </c>
      <c r="M634" s="6">
        <f t="shared" si="1"/>
        <v>-3.597605369</v>
      </c>
      <c r="N634" s="6">
        <v>-10.71</v>
      </c>
      <c r="O634" s="7" t="s">
        <v>45</v>
      </c>
      <c r="P634" s="7" t="s">
        <v>46</v>
      </c>
      <c r="Q634" s="7" t="s">
        <v>25</v>
      </c>
      <c r="R634" s="10">
        <v>2792.57</v>
      </c>
      <c r="S634" s="10">
        <v>-16193.65</v>
      </c>
      <c r="T634" s="9" t="s">
        <v>29</v>
      </c>
      <c r="U634" s="9"/>
      <c r="V634" s="9"/>
      <c r="W634" s="9"/>
      <c r="X634" s="9"/>
      <c r="Y634" s="9"/>
      <c r="Z634" s="9"/>
      <c r="AA634" s="9"/>
      <c r="AB634" s="9"/>
    </row>
    <row r="635">
      <c r="A635" s="5">
        <v>42271.0</v>
      </c>
      <c r="B635" s="6">
        <v>2015.0</v>
      </c>
      <c r="C635" s="7" t="s">
        <v>78</v>
      </c>
      <c r="D635" s="7" t="s">
        <v>62</v>
      </c>
      <c r="E635" s="7" t="s">
        <v>35</v>
      </c>
      <c r="F635" s="6">
        <v>4492.0</v>
      </c>
      <c r="G635" s="6">
        <v>150036.81</v>
      </c>
      <c r="H635" s="6">
        <v>33.4</v>
      </c>
      <c r="I635" s="8">
        <v>37.334118432769365</v>
      </c>
      <c r="J635" s="6">
        <v>167704.86</v>
      </c>
      <c r="K635" s="6">
        <v>-17668.05</v>
      </c>
      <c r="L635" s="6">
        <v>-11.78</v>
      </c>
      <c r="M635" s="6">
        <f t="shared" si="1"/>
        <v>-3.933225735</v>
      </c>
      <c r="N635" s="6">
        <v>-11.78</v>
      </c>
      <c r="O635" s="7" t="s">
        <v>45</v>
      </c>
      <c r="P635" s="7" t="s">
        <v>46</v>
      </c>
      <c r="Q635" s="7" t="s">
        <v>25</v>
      </c>
      <c r="R635" s="10">
        <v>-13401.08</v>
      </c>
      <c r="S635" s="10">
        <v>-4266.97</v>
      </c>
      <c r="T635" s="9" t="s">
        <v>29</v>
      </c>
      <c r="U635" s="9"/>
      <c r="V635" s="9"/>
      <c r="W635" s="9"/>
      <c r="X635" s="9"/>
      <c r="Y635" s="9"/>
      <c r="Z635" s="9"/>
      <c r="AA635" s="9"/>
      <c r="AB635" s="9"/>
    </row>
    <row r="636">
      <c r="A636" s="5">
        <v>42272.0</v>
      </c>
      <c r="B636" s="6">
        <v>2015.0</v>
      </c>
      <c r="C636" s="7" t="s">
        <v>78</v>
      </c>
      <c r="D636" s="7" t="s">
        <v>63</v>
      </c>
      <c r="E636" s="7" t="s">
        <v>37</v>
      </c>
      <c r="F636" s="6">
        <v>11030.0</v>
      </c>
      <c r="G636" s="6">
        <v>368037.69</v>
      </c>
      <c r="H636" s="6">
        <v>33.37</v>
      </c>
      <c r="I636" s="8">
        <v>37.49236718041704</v>
      </c>
      <c r="J636" s="6">
        <v>413540.81</v>
      </c>
      <c r="K636" s="6">
        <v>-45503.12</v>
      </c>
      <c r="L636" s="6">
        <v>-12.36</v>
      </c>
      <c r="M636" s="6">
        <f t="shared" si="1"/>
        <v>-4.125396192</v>
      </c>
      <c r="N636" s="6">
        <v>-12.36</v>
      </c>
      <c r="O636" s="7" t="s">
        <v>45</v>
      </c>
      <c r="P636" s="7" t="s">
        <v>46</v>
      </c>
      <c r="Q636" s="7" t="s">
        <v>25</v>
      </c>
      <c r="R636" s="10">
        <v>-17668.05</v>
      </c>
      <c r="S636" s="10">
        <v>-27835.06</v>
      </c>
      <c r="T636" s="9" t="s">
        <v>29</v>
      </c>
      <c r="U636" s="9"/>
      <c r="V636" s="9"/>
      <c r="W636" s="9"/>
      <c r="X636" s="9"/>
      <c r="Y636" s="9"/>
      <c r="Z636" s="9"/>
      <c r="AA636" s="9"/>
      <c r="AB636" s="9"/>
    </row>
    <row r="637">
      <c r="A637" s="5">
        <v>42273.0</v>
      </c>
      <c r="B637" s="6">
        <v>2015.0</v>
      </c>
      <c r="C637" s="7" t="s">
        <v>78</v>
      </c>
      <c r="D637" s="7" t="s">
        <v>64</v>
      </c>
      <c r="E637" s="7" t="s">
        <v>39</v>
      </c>
      <c r="F637" s="6">
        <v>10528.0</v>
      </c>
      <c r="G637" s="6">
        <v>351319.64</v>
      </c>
      <c r="H637" s="6">
        <v>33.37</v>
      </c>
      <c r="I637" s="8">
        <v>37.76848309270517</v>
      </c>
      <c r="J637" s="6">
        <v>397626.59</v>
      </c>
      <c r="K637" s="6">
        <v>-46306.95</v>
      </c>
      <c r="L637" s="6">
        <v>-13.18</v>
      </c>
      <c r="M637" s="6">
        <f t="shared" si="1"/>
        <v>-4.398456497</v>
      </c>
      <c r="N637" s="6">
        <v>-13.18</v>
      </c>
      <c r="O637" s="7" t="s">
        <v>45</v>
      </c>
      <c r="P637" s="7" t="s">
        <v>46</v>
      </c>
      <c r="Q637" s="7" t="s">
        <v>25</v>
      </c>
      <c r="R637" s="10">
        <v>-45503.12</v>
      </c>
      <c r="S637" s="10">
        <v>-803.83</v>
      </c>
      <c r="T637" s="9" t="s">
        <v>29</v>
      </c>
      <c r="U637" s="9"/>
      <c r="V637" s="9"/>
      <c r="W637" s="9"/>
      <c r="X637" s="9"/>
      <c r="Y637" s="9"/>
      <c r="Z637" s="9"/>
      <c r="AA637" s="9"/>
      <c r="AB637" s="9"/>
    </row>
    <row r="638">
      <c r="A638" s="5">
        <v>42274.0</v>
      </c>
      <c r="B638" s="6">
        <v>2015.0</v>
      </c>
      <c r="C638" s="7" t="s">
        <v>78</v>
      </c>
      <c r="D638" s="7" t="s">
        <v>65</v>
      </c>
      <c r="E638" s="7" t="s">
        <v>41</v>
      </c>
      <c r="F638" s="6">
        <v>4895.0</v>
      </c>
      <c r="G638" s="6">
        <v>163289.94</v>
      </c>
      <c r="H638" s="6">
        <v>33.36</v>
      </c>
      <c r="I638" s="8">
        <v>37.87620837589377</v>
      </c>
      <c r="J638" s="6">
        <v>185404.04</v>
      </c>
      <c r="K638" s="6">
        <v>-22114.11</v>
      </c>
      <c r="L638" s="6">
        <v>-13.54</v>
      </c>
      <c r="M638" s="6">
        <f t="shared" si="1"/>
        <v>-4.517693565</v>
      </c>
      <c r="N638" s="6">
        <v>-13.54</v>
      </c>
      <c r="O638" s="7" t="s">
        <v>23</v>
      </c>
      <c r="P638" s="7" t="s">
        <v>46</v>
      </c>
      <c r="Q638" s="7" t="s">
        <v>25</v>
      </c>
      <c r="R638" s="10">
        <v>-46306.95</v>
      </c>
      <c r="S638" s="10">
        <v>24192.84</v>
      </c>
      <c r="T638" s="9" t="s">
        <v>33</v>
      </c>
      <c r="U638" s="9"/>
      <c r="V638" s="9"/>
      <c r="W638" s="9"/>
      <c r="X638" s="9"/>
      <c r="Y638" s="9"/>
      <c r="Z638" s="9"/>
      <c r="AA638" s="9"/>
      <c r="AB638" s="9"/>
    </row>
    <row r="639">
      <c r="A639" s="5">
        <v>42275.0</v>
      </c>
      <c r="B639" s="6">
        <v>2015.0</v>
      </c>
      <c r="C639" s="7" t="s">
        <v>78</v>
      </c>
      <c r="D639" s="7" t="s">
        <v>66</v>
      </c>
      <c r="E639" s="7" t="s">
        <v>22</v>
      </c>
      <c r="F639" s="6">
        <v>5720.0</v>
      </c>
      <c r="G639" s="6">
        <v>190892.46</v>
      </c>
      <c r="H639" s="6">
        <v>33.37</v>
      </c>
      <c r="I639" s="8">
        <v>37.862073426573424</v>
      </c>
      <c r="J639" s="6">
        <v>216571.06</v>
      </c>
      <c r="K639" s="6">
        <v>-25678.6</v>
      </c>
      <c r="L639" s="6">
        <v>-13.45</v>
      </c>
      <c r="M639" s="6">
        <f t="shared" si="1"/>
        <v>-4.489265734</v>
      </c>
      <c r="N639" s="6">
        <v>-13.45</v>
      </c>
      <c r="O639" s="7" t="s">
        <v>45</v>
      </c>
      <c r="P639" s="7" t="s">
        <v>46</v>
      </c>
      <c r="Q639" s="7" t="s">
        <v>25</v>
      </c>
      <c r="R639" s="10">
        <v>-22114.11</v>
      </c>
      <c r="S639" s="10">
        <v>-3564.49</v>
      </c>
      <c r="T639" s="9" t="s">
        <v>29</v>
      </c>
      <c r="U639" s="9"/>
      <c r="V639" s="9"/>
      <c r="W639" s="9"/>
      <c r="X639" s="9"/>
      <c r="Y639" s="9"/>
      <c r="Z639" s="9"/>
      <c r="AA639" s="9"/>
      <c r="AB639" s="9"/>
    </row>
    <row r="640">
      <c r="A640" s="5">
        <v>42276.0</v>
      </c>
      <c r="B640" s="6">
        <v>2015.0</v>
      </c>
      <c r="C640" s="7" t="s">
        <v>78</v>
      </c>
      <c r="D640" s="7" t="s">
        <v>67</v>
      </c>
      <c r="E640" s="7" t="s">
        <v>28</v>
      </c>
      <c r="F640" s="6">
        <v>4288.0</v>
      </c>
      <c r="G640" s="6">
        <v>143082.13</v>
      </c>
      <c r="H640" s="6">
        <v>33.37</v>
      </c>
      <c r="I640" s="8">
        <v>37.99650652985074</v>
      </c>
      <c r="J640" s="6">
        <v>162929.02</v>
      </c>
      <c r="K640" s="6">
        <v>-19846.89</v>
      </c>
      <c r="L640" s="6">
        <v>-13.87</v>
      </c>
      <c r="M640" s="6">
        <f t="shared" si="1"/>
        <v>-4.628472481</v>
      </c>
      <c r="N640" s="6">
        <v>-13.87</v>
      </c>
      <c r="O640" s="7" t="s">
        <v>45</v>
      </c>
      <c r="P640" s="7" t="s">
        <v>46</v>
      </c>
      <c r="Q640" s="7" t="s">
        <v>25</v>
      </c>
      <c r="R640" s="10">
        <v>-25678.6</v>
      </c>
      <c r="S640" s="10">
        <v>5831.72</v>
      </c>
      <c r="T640" s="9" t="s">
        <v>33</v>
      </c>
      <c r="U640" s="9"/>
      <c r="V640" s="9"/>
      <c r="W640" s="9"/>
      <c r="X640" s="9"/>
      <c r="Y640" s="9"/>
      <c r="Z640" s="9"/>
      <c r="AA640" s="9"/>
      <c r="AB640" s="9"/>
    </row>
    <row r="641">
      <c r="A641" s="5">
        <v>42277.0</v>
      </c>
      <c r="B641" s="6">
        <v>2015.0</v>
      </c>
      <c r="C641" s="7" t="s">
        <v>78</v>
      </c>
      <c r="D641" s="7" t="s">
        <v>21</v>
      </c>
      <c r="E641" s="7" t="s">
        <v>32</v>
      </c>
      <c r="F641" s="6">
        <v>9693.0</v>
      </c>
      <c r="G641" s="6">
        <v>323548.79</v>
      </c>
      <c r="H641" s="6">
        <v>33.38</v>
      </c>
      <c r="I641" s="8">
        <v>38.010408542246985</v>
      </c>
      <c r="J641" s="6">
        <v>368434.89</v>
      </c>
      <c r="K641" s="6">
        <v>-44886.1</v>
      </c>
      <c r="L641" s="6">
        <v>-13.87</v>
      </c>
      <c r="M641" s="6">
        <f t="shared" si="1"/>
        <v>-4.630774786</v>
      </c>
      <c r="N641" s="6">
        <v>-13.87</v>
      </c>
      <c r="O641" s="7" t="s">
        <v>45</v>
      </c>
      <c r="P641" s="7" t="s">
        <v>46</v>
      </c>
      <c r="Q641" s="7" t="s">
        <v>25</v>
      </c>
      <c r="R641" s="10">
        <v>-19846.89</v>
      </c>
      <c r="S641" s="10">
        <v>-25039.22</v>
      </c>
      <c r="T641" s="9" t="s">
        <v>29</v>
      </c>
      <c r="U641" s="9"/>
      <c r="V641" s="9"/>
      <c r="W641" s="9"/>
      <c r="X641" s="9"/>
      <c r="Y641" s="9"/>
      <c r="Z641" s="9"/>
      <c r="AA641" s="9"/>
      <c r="AB641" s="9"/>
    </row>
    <row r="642">
      <c r="A642" s="5">
        <v>42278.0</v>
      </c>
      <c r="B642" s="6">
        <v>2015.0</v>
      </c>
      <c r="C642" s="7" t="s">
        <v>79</v>
      </c>
      <c r="D642" s="7" t="s">
        <v>31</v>
      </c>
      <c r="E642" s="7" t="s">
        <v>35</v>
      </c>
      <c r="F642" s="6">
        <v>12065.0</v>
      </c>
      <c r="G642" s="6">
        <v>402312.33</v>
      </c>
      <c r="H642" s="6">
        <v>33.35</v>
      </c>
      <c r="I642" s="8">
        <v>38.06761707418151</v>
      </c>
      <c r="J642" s="6">
        <v>459285.8</v>
      </c>
      <c r="K642" s="6">
        <v>-56973.47</v>
      </c>
      <c r="L642" s="6">
        <v>-14.16</v>
      </c>
      <c r="M642" s="6">
        <f t="shared" si="1"/>
        <v>-4.722210526</v>
      </c>
      <c r="N642" s="6">
        <v>-14.16</v>
      </c>
      <c r="O642" s="7" t="s">
        <v>23</v>
      </c>
      <c r="P642" s="7" t="s">
        <v>46</v>
      </c>
      <c r="Q642" s="7" t="s">
        <v>25</v>
      </c>
      <c r="R642" s="10">
        <v>-44886.1</v>
      </c>
      <c r="S642" s="10">
        <v>-12087.37</v>
      </c>
      <c r="T642" s="9" t="s">
        <v>29</v>
      </c>
      <c r="U642" s="9"/>
      <c r="V642" s="9"/>
      <c r="W642" s="9"/>
      <c r="X642" s="9"/>
      <c r="Y642" s="9"/>
      <c r="Z642" s="9"/>
      <c r="AA642" s="9"/>
      <c r="AB642" s="9"/>
    </row>
    <row r="643">
      <c r="A643" s="5">
        <v>42279.0</v>
      </c>
      <c r="B643" s="6">
        <v>2015.0</v>
      </c>
      <c r="C643" s="7" t="s">
        <v>79</v>
      </c>
      <c r="D643" s="7" t="s">
        <v>34</v>
      </c>
      <c r="E643" s="7" t="s">
        <v>37</v>
      </c>
      <c r="F643" s="6">
        <v>11758.0</v>
      </c>
      <c r="G643" s="6">
        <v>393635.17</v>
      </c>
      <c r="H643" s="6">
        <v>33.48</v>
      </c>
      <c r="I643" s="8">
        <v>38.13496938254805</v>
      </c>
      <c r="J643" s="6">
        <v>448390.97</v>
      </c>
      <c r="K643" s="6">
        <v>-54755.79</v>
      </c>
      <c r="L643" s="6">
        <v>-13.91</v>
      </c>
      <c r="M643" s="6">
        <f t="shared" si="1"/>
        <v>-4.656896581</v>
      </c>
      <c r="N643" s="6">
        <v>-13.91</v>
      </c>
      <c r="O643" s="7" t="s">
        <v>45</v>
      </c>
      <c r="P643" s="7" t="s">
        <v>46</v>
      </c>
      <c r="Q643" s="7" t="s">
        <v>25</v>
      </c>
      <c r="R643" s="10">
        <v>-56973.47</v>
      </c>
      <c r="S643" s="10">
        <v>2217.68</v>
      </c>
      <c r="T643" s="9" t="s">
        <v>33</v>
      </c>
      <c r="U643" s="9"/>
      <c r="V643" s="9"/>
      <c r="W643" s="9"/>
      <c r="X643" s="9"/>
      <c r="Y643" s="9"/>
      <c r="Z643" s="9"/>
      <c r="AA643" s="9"/>
      <c r="AB643" s="9"/>
    </row>
    <row r="644">
      <c r="A644" s="5">
        <v>42280.0</v>
      </c>
      <c r="B644" s="6">
        <v>2015.0</v>
      </c>
      <c r="C644" s="7" t="s">
        <v>79</v>
      </c>
      <c r="D644" s="7" t="s">
        <v>36</v>
      </c>
      <c r="E644" s="7" t="s">
        <v>39</v>
      </c>
      <c r="F644" s="6">
        <v>13508.0</v>
      </c>
      <c r="G644" s="6">
        <v>451100.06</v>
      </c>
      <c r="H644" s="6">
        <v>33.4</v>
      </c>
      <c r="I644" s="8">
        <v>38.166226680485636</v>
      </c>
      <c r="J644" s="6">
        <v>515549.39</v>
      </c>
      <c r="K644" s="6">
        <v>-64449.33</v>
      </c>
      <c r="L644" s="6">
        <v>-14.29</v>
      </c>
      <c r="M644" s="6">
        <f t="shared" si="1"/>
        <v>-4.771197068</v>
      </c>
      <c r="N644" s="6">
        <v>-14.29</v>
      </c>
      <c r="O644" s="7" t="s">
        <v>45</v>
      </c>
      <c r="P644" s="7" t="s">
        <v>46</v>
      </c>
      <c r="Q644" s="7" t="s">
        <v>25</v>
      </c>
      <c r="R644" s="10">
        <v>-54755.79</v>
      </c>
      <c r="S644" s="10">
        <v>-9693.54</v>
      </c>
      <c r="T644" s="9" t="s">
        <v>29</v>
      </c>
      <c r="U644" s="9"/>
      <c r="V644" s="9"/>
      <c r="W644" s="9"/>
      <c r="X644" s="9"/>
      <c r="Y644" s="9"/>
      <c r="Z644" s="9"/>
      <c r="AA644" s="9"/>
      <c r="AB644" s="9"/>
    </row>
    <row r="645">
      <c r="A645" s="5">
        <v>42281.0</v>
      </c>
      <c r="B645" s="6">
        <v>2015.0</v>
      </c>
      <c r="C645" s="7" t="s">
        <v>79</v>
      </c>
      <c r="D645" s="7" t="s">
        <v>38</v>
      </c>
      <c r="E645" s="7" t="s">
        <v>41</v>
      </c>
      <c r="F645" s="6">
        <v>6085.0</v>
      </c>
      <c r="G645" s="6">
        <v>202902.62</v>
      </c>
      <c r="H645" s="6">
        <v>33.34</v>
      </c>
      <c r="I645" s="8">
        <v>38.18575677896467</v>
      </c>
      <c r="J645" s="6">
        <v>232360.33</v>
      </c>
      <c r="K645" s="6">
        <v>-29457.7</v>
      </c>
      <c r="L645" s="6">
        <v>-14.52</v>
      </c>
      <c r="M645" s="6">
        <f t="shared" si="1"/>
        <v>-4.841035333</v>
      </c>
      <c r="N645" s="6">
        <v>-14.52</v>
      </c>
      <c r="O645" s="7" t="s">
        <v>23</v>
      </c>
      <c r="P645" s="7" t="s">
        <v>46</v>
      </c>
      <c r="Q645" s="7" t="s">
        <v>25</v>
      </c>
      <c r="R645" s="10">
        <v>-64449.33</v>
      </c>
      <c r="S645" s="10">
        <v>34991.63</v>
      </c>
      <c r="T645" s="9" t="s">
        <v>33</v>
      </c>
      <c r="U645" s="9"/>
      <c r="V645" s="9"/>
      <c r="W645" s="9"/>
      <c r="X645" s="9"/>
      <c r="Y645" s="9"/>
      <c r="Z645" s="9"/>
      <c r="AA645" s="9"/>
      <c r="AB645" s="9"/>
    </row>
    <row r="646">
      <c r="A646" s="5">
        <v>42282.0</v>
      </c>
      <c r="B646" s="6">
        <v>2015.0</v>
      </c>
      <c r="C646" s="7" t="s">
        <v>79</v>
      </c>
      <c r="D646" s="7" t="s">
        <v>40</v>
      </c>
      <c r="E646" s="7" t="s">
        <v>22</v>
      </c>
      <c r="F646" s="6">
        <v>8828.0</v>
      </c>
      <c r="G646" s="6">
        <v>294557.65</v>
      </c>
      <c r="H646" s="6">
        <v>33.37</v>
      </c>
      <c r="I646" s="8">
        <v>38.16242863615768</v>
      </c>
      <c r="J646" s="6">
        <v>336897.92</v>
      </c>
      <c r="K646" s="6">
        <v>-42340.28</v>
      </c>
      <c r="L646" s="6">
        <v>-14.37</v>
      </c>
      <c r="M646" s="6">
        <f t="shared" si="1"/>
        <v>-4.796135025</v>
      </c>
      <c r="N646" s="6">
        <v>-14.37</v>
      </c>
      <c r="O646" s="7" t="s">
        <v>45</v>
      </c>
      <c r="P646" s="7" t="s">
        <v>46</v>
      </c>
      <c r="Q646" s="7" t="s">
        <v>25</v>
      </c>
      <c r="R646" s="10">
        <v>-29457.7</v>
      </c>
      <c r="S646" s="10">
        <v>-12882.57</v>
      </c>
      <c r="T646" s="9" t="s">
        <v>29</v>
      </c>
      <c r="U646" s="9"/>
      <c r="V646" s="9"/>
      <c r="W646" s="9"/>
      <c r="X646" s="9"/>
      <c r="Y646" s="9"/>
      <c r="Z646" s="9"/>
      <c r="AA646" s="9"/>
      <c r="AB646" s="9"/>
    </row>
    <row r="647">
      <c r="A647" s="5">
        <v>42283.0</v>
      </c>
      <c r="B647" s="6">
        <v>2015.0</v>
      </c>
      <c r="C647" s="7" t="s">
        <v>79</v>
      </c>
      <c r="D647" s="7" t="s">
        <v>42</v>
      </c>
      <c r="E647" s="7" t="s">
        <v>28</v>
      </c>
      <c r="F647" s="6">
        <v>6636.0</v>
      </c>
      <c r="G647" s="6">
        <v>221618.33</v>
      </c>
      <c r="H647" s="6">
        <v>33.4</v>
      </c>
      <c r="I647" s="8">
        <v>38.16923749246534</v>
      </c>
      <c r="J647" s="6">
        <v>253291.06</v>
      </c>
      <c r="K647" s="6">
        <v>-31672.73</v>
      </c>
      <c r="L647" s="6">
        <v>-14.29</v>
      </c>
      <c r="M647" s="6">
        <f t="shared" si="1"/>
        <v>-4.772864678</v>
      </c>
      <c r="N647" s="6">
        <v>-14.29</v>
      </c>
      <c r="O647" s="7" t="s">
        <v>45</v>
      </c>
      <c r="P647" s="7" t="s">
        <v>46</v>
      </c>
      <c r="Q647" s="7" t="s">
        <v>25</v>
      </c>
      <c r="R647" s="10">
        <v>-42340.28</v>
      </c>
      <c r="S647" s="10">
        <v>10667.54</v>
      </c>
      <c r="T647" s="9" t="s">
        <v>33</v>
      </c>
      <c r="U647" s="9"/>
      <c r="V647" s="9"/>
      <c r="W647" s="9"/>
      <c r="X647" s="9"/>
      <c r="Y647" s="9"/>
      <c r="Z647" s="9"/>
      <c r="AA647" s="9"/>
      <c r="AB647" s="9"/>
    </row>
    <row r="648">
      <c r="A648" s="5">
        <v>42284.0</v>
      </c>
      <c r="B648" s="6">
        <v>2015.0</v>
      </c>
      <c r="C648" s="7" t="s">
        <v>79</v>
      </c>
      <c r="D648" s="7" t="s">
        <v>43</v>
      </c>
      <c r="E648" s="7" t="s">
        <v>32</v>
      </c>
      <c r="F648" s="6">
        <v>1622.0</v>
      </c>
      <c r="G648" s="6">
        <v>63968.38</v>
      </c>
      <c r="H648" s="6">
        <v>39.44</v>
      </c>
      <c r="I648" s="8">
        <v>38.1891738594328</v>
      </c>
      <c r="J648" s="6">
        <v>61942.84</v>
      </c>
      <c r="K648" s="6">
        <v>2025.54</v>
      </c>
      <c r="L648" s="6">
        <v>3.17</v>
      </c>
      <c r="M648" s="6">
        <f t="shared" si="1"/>
        <v>1.248791615</v>
      </c>
      <c r="N648" s="6">
        <v>3.17</v>
      </c>
      <c r="O648" s="7" t="s">
        <v>45</v>
      </c>
      <c r="P648" s="7" t="s">
        <v>46</v>
      </c>
      <c r="Q648" s="7" t="s">
        <v>25</v>
      </c>
      <c r="R648" s="10">
        <v>-31672.73</v>
      </c>
      <c r="S648" s="10">
        <v>33698.27</v>
      </c>
      <c r="T648" s="9" t="s">
        <v>33</v>
      </c>
      <c r="U648" s="9"/>
      <c r="V648" s="9"/>
      <c r="W648" s="9"/>
      <c r="X648" s="9"/>
      <c r="Y648" s="9"/>
      <c r="Z648" s="9"/>
      <c r="AA648" s="9"/>
      <c r="AB648" s="9"/>
    </row>
    <row r="649">
      <c r="A649" s="5">
        <v>42285.0</v>
      </c>
      <c r="B649" s="6">
        <v>2015.0</v>
      </c>
      <c r="C649" s="7" t="s">
        <v>79</v>
      </c>
      <c r="D649" s="7" t="s">
        <v>44</v>
      </c>
      <c r="E649" s="7" t="s">
        <v>35</v>
      </c>
      <c r="F649" s="6">
        <v>1512.0</v>
      </c>
      <c r="G649" s="6">
        <v>59609.54</v>
      </c>
      <c r="H649" s="6">
        <v>39.42</v>
      </c>
      <c r="I649" s="8">
        <v>38.185502645502645</v>
      </c>
      <c r="J649" s="6">
        <v>57736.48</v>
      </c>
      <c r="K649" s="6">
        <v>1873.07</v>
      </c>
      <c r="L649" s="6">
        <v>3.14</v>
      </c>
      <c r="M649" s="6">
        <f t="shared" si="1"/>
        <v>1.23880291</v>
      </c>
      <c r="N649" s="6">
        <v>3.14</v>
      </c>
      <c r="O649" s="7" t="s">
        <v>45</v>
      </c>
      <c r="P649" s="7" t="s">
        <v>46</v>
      </c>
      <c r="Q649" s="7" t="s">
        <v>25</v>
      </c>
      <c r="R649" s="10">
        <v>2025.54</v>
      </c>
      <c r="S649" s="10">
        <v>-152.47</v>
      </c>
      <c r="T649" s="9" t="s">
        <v>29</v>
      </c>
      <c r="U649" s="9"/>
      <c r="V649" s="9"/>
      <c r="W649" s="9"/>
      <c r="X649" s="9"/>
      <c r="Y649" s="9"/>
      <c r="Z649" s="9"/>
      <c r="AA649" s="9"/>
      <c r="AB649" s="9"/>
    </row>
    <row r="650">
      <c r="A650" s="5">
        <v>42286.0</v>
      </c>
      <c r="B650" s="6">
        <v>2015.0</v>
      </c>
      <c r="C650" s="7" t="s">
        <v>79</v>
      </c>
      <c r="D650" s="7" t="s">
        <v>47</v>
      </c>
      <c r="E650" s="7" t="s">
        <v>37</v>
      </c>
      <c r="F650" s="6">
        <v>3211.0</v>
      </c>
      <c r="G650" s="6">
        <v>126588.25</v>
      </c>
      <c r="H650" s="6">
        <v>39.42</v>
      </c>
      <c r="I650" s="8">
        <v>38.18821550918717</v>
      </c>
      <c r="J650" s="6">
        <v>122622.36</v>
      </c>
      <c r="K650" s="6">
        <v>3965.89</v>
      </c>
      <c r="L650" s="6">
        <v>3.13</v>
      </c>
      <c r="M650" s="6">
        <f t="shared" si="1"/>
        <v>1.235094986</v>
      </c>
      <c r="N650" s="6">
        <v>3.13</v>
      </c>
      <c r="O650" s="7" t="s">
        <v>45</v>
      </c>
      <c r="P650" s="7" t="s">
        <v>46</v>
      </c>
      <c r="Q650" s="7" t="s">
        <v>25</v>
      </c>
      <c r="R650" s="10">
        <v>1873.07</v>
      </c>
      <c r="S650" s="10">
        <v>2092.82</v>
      </c>
      <c r="T650" s="9" t="s">
        <v>33</v>
      </c>
      <c r="U650" s="9"/>
      <c r="V650" s="9"/>
      <c r="W650" s="9"/>
      <c r="X650" s="9"/>
      <c r="Y650" s="9"/>
      <c r="Z650" s="9"/>
      <c r="AA650" s="9"/>
      <c r="AB650" s="9"/>
    </row>
    <row r="651">
      <c r="A651" s="5">
        <v>42287.0</v>
      </c>
      <c r="B651" s="6">
        <v>2015.0</v>
      </c>
      <c r="C651" s="7" t="s">
        <v>79</v>
      </c>
      <c r="D651" s="7" t="s">
        <v>48</v>
      </c>
      <c r="E651" s="7" t="s">
        <v>39</v>
      </c>
      <c r="F651" s="6">
        <v>3037.0</v>
      </c>
      <c r="G651" s="6">
        <v>119755.01</v>
      </c>
      <c r="H651" s="6">
        <v>39.43</v>
      </c>
      <c r="I651" s="8">
        <v>38.19680276588739</v>
      </c>
      <c r="J651" s="6">
        <v>116003.69</v>
      </c>
      <c r="K651" s="6">
        <v>3751.32</v>
      </c>
      <c r="L651" s="6">
        <v>3.13</v>
      </c>
      <c r="M651" s="6">
        <f t="shared" si="1"/>
        <v>1.235205795</v>
      </c>
      <c r="N651" s="6">
        <v>3.13</v>
      </c>
      <c r="O651" s="7" t="s">
        <v>45</v>
      </c>
      <c r="P651" s="7" t="s">
        <v>46</v>
      </c>
      <c r="Q651" s="7" t="s">
        <v>25</v>
      </c>
      <c r="R651" s="10">
        <v>3965.89</v>
      </c>
      <c r="S651" s="10">
        <v>-214.57</v>
      </c>
      <c r="T651" s="9" t="s">
        <v>29</v>
      </c>
      <c r="U651" s="9"/>
      <c r="V651" s="9"/>
      <c r="W651" s="9"/>
      <c r="X651" s="9"/>
      <c r="Y651" s="9"/>
      <c r="Z651" s="9"/>
      <c r="AA651" s="9"/>
      <c r="AB651" s="9"/>
    </row>
    <row r="652">
      <c r="A652" s="5">
        <v>42288.0</v>
      </c>
      <c r="B652" s="6">
        <v>2015.0</v>
      </c>
      <c r="C652" s="7" t="s">
        <v>79</v>
      </c>
      <c r="D652" s="7" t="s">
        <v>49</v>
      </c>
      <c r="E652" s="7" t="s">
        <v>41</v>
      </c>
      <c r="F652" s="6">
        <v>1456.0</v>
      </c>
      <c r="G652" s="6">
        <v>57413.41</v>
      </c>
      <c r="H652" s="6">
        <v>39.43</v>
      </c>
      <c r="I652" s="8">
        <v>38.198887362637365</v>
      </c>
      <c r="J652" s="6">
        <v>55617.58</v>
      </c>
      <c r="K652" s="6">
        <v>1795.83</v>
      </c>
      <c r="L652" s="6">
        <v>3.13</v>
      </c>
      <c r="M652" s="6">
        <f t="shared" si="1"/>
        <v>1.233399725</v>
      </c>
      <c r="N652" s="6">
        <v>3.13</v>
      </c>
      <c r="O652" s="7" t="s">
        <v>45</v>
      </c>
      <c r="P652" s="7" t="s">
        <v>46</v>
      </c>
      <c r="Q652" s="7" t="s">
        <v>25</v>
      </c>
      <c r="R652" s="10">
        <v>3751.32</v>
      </c>
      <c r="S652" s="10">
        <v>-1955.5</v>
      </c>
      <c r="T652" s="9" t="s">
        <v>29</v>
      </c>
      <c r="U652" s="9"/>
      <c r="V652" s="9"/>
      <c r="W652" s="9"/>
      <c r="X652" s="9"/>
      <c r="Y652" s="9"/>
      <c r="Z652" s="9"/>
      <c r="AA652" s="9"/>
      <c r="AB652" s="9"/>
    </row>
    <row r="653">
      <c r="A653" s="5">
        <v>42289.0</v>
      </c>
      <c r="B653" s="6">
        <v>2015.0</v>
      </c>
      <c r="C653" s="7" t="s">
        <v>79</v>
      </c>
      <c r="D653" s="7" t="s">
        <v>50</v>
      </c>
      <c r="E653" s="7" t="s">
        <v>22</v>
      </c>
      <c r="F653" s="6">
        <v>1465.0</v>
      </c>
      <c r="G653" s="6">
        <v>57749.14</v>
      </c>
      <c r="H653" s="6">
        <v>39.42</v>
      </c>
      <c r="I653" s="8">
        <v>38.17952901023891</v>
      </c>
      <c r="J653" s="6">
        <v>55933.01</v>
      </c>
      <c r="K653" s="6">
        <v>1816.13</v>
      </c>
      <c r="L653" s="6">
        <v>3.14</v>
      </c>
      <c r="M653" s="6">
        <f t="shared" si="1"/>
        <v>1.239679181</v>
      </c>
      <c r="N653" s="6">
        <v>3.14</v>
      </c>
      <c r="O653" s="7" t="s">
        <v>45</v>
      </c>
      <c r="P653" s="7" t="s">
        <v>46</v>
      </c>
      <c r="Q653" s="7" t="s">
        <v>25</v>
      </c>
      <c r="R653" s="10">
        <v>1795.83</v>
      </c>
      <c r="S653" s="10">
        <v>20.3</v>
      </c>
      <c r="T653" s="9" t="s">
        <v>33</v>
      </c>
      <c r="U653" s="9"/>
      <c r="V653" s="9"/>
      <c r="W653" s="9"/>
      <c r="X653" s="9"/>
      <c r="Y653" s="9"/>
      <c r="Z653" s="9"/>
      <c r="AA653" s="9"/>
      <c r="AB653" s="9"/>
    </row>
    <row r="654">
      <c r="A654" s="5">
        <v>42290.0</v>
      </c>
      <c r="B654" s="6">
        <v>2015.0</v>
      </c>
      <c r="C654" s="7" t="s">
        <v>79</v>
      </c>
      <c r="D654" s="7" t="s">
        <v>51</v>
      </c>
      <c r="E654" s="7" t="s">
        <v>28</v>
      </c>
      <c r="F654" s="6">
        <v>1018.0</v>
      </c>
      <c r="G654" s="6">
        <v>40140.82</v>
      </c>
      <c r="H654" s="6">
        <v>39.43</v>
      </c>
      <c r="I654" s="8">
        <v>38.193605108055</v>
      </c>
      <c r="J654" s="6">
        <v>38881.09</v>
      </c>
      <c r="K654" s="6">
        <v>1259.73</v>
      </c>
      <c r="L654" s="6">
        <v>3.14</v>
      </c>
      <c r="M654" s="6">
        <f t="shared" si="1"/>
        <v>1.237455796</v>
      </c>
      <c r="N654" s="6">
        <v>3.14</v>
      </c>
      <c r="O654" s="7" t="s">
        <v>45</v>
      </c>
      <c r="P654" s="7" t="s">
        <v>46</v>
      </c>
      <c r="Q654" s="7" t="s">
        <v>25</v>
      </c>
      <c r="R654" s="10">
        <v>1816.13</v>
      </c>
      <c r="S654" s="10">
        <v>-556.4</v>
      </c>
      <c r="T654" s="9" t="s">
        <v>29</v>
      </c>
      <c r="U654" s="9"/>
      <c r="V654" s="9"/>
      <c r="W654" s="9"/>
      <c r="X654" s="9"/>
      <c r="Y654" s="9"/>
      <c r="Z654" s="9"/>
      <c r="AA654" s="9"/>
      <c r="AB654" s="9"/>
    </row>
    <row r="655">
      <c r="A655" s="5">
        <v>42291.0</v>
      </c>
      <c r="B655" s="6">
        <v>2015.0</v>
      </c>
      <c r="C655" s="7" t="s">
        <v>79</v>
      </c>
      <c r="D655" s="7" t="s">
        <v>52</v>
      </c>
      <c r="E655" s="7" t="s">
        <v>32</v>
      </c>
      <c r="F655" s="6">
        <v>1070.0</v>
      </c>
      <c r="G655" s="6">
        <v>42195.82</v>
      </c>
      <c r="H655" s="6">
        <v>39.44</v>
      </c>
      <c r="I655" s="8">
        <v>38.19556074766355</v>
      </c>
      <c r="J655" s="6">
        <v>40869.25</v>
      </c>
      <c r="K655" s="6">
        <v>1326.57</v>
      </c>
      <c r="L655" s="6">
        <v>3.14</v>
      </c>
      <c r="M655" s="6">
        <f t="shared" si="1"/>
        <v>1.239785047</v>
      </c>
      <c r="N655" s="6">
        <v>3.14</v>
      </c>
      <c r="O655" s="7" t="s">
        <v>45</v>
      </c>
      <c r="P655" s="7" t="s">
        <v>46</v>
      </c>
      <c r="Q655" s="7" t="s">
        <v>25</v>
      </c>
      <c r="R655" s="10">
        <v>1259.73</v>
      </c>
      <c r="S655" s="10">
        <v>66.84</v>
      </c>
      <c r="T655" s="9" t="s">
        <v>33</v>
      </c>
      <c r="U655" s="9"/>
      <c r="V655" s="9"/>
      <c r="W655" s="9"/>
      <c r="X655" s="9"/>
      <c r="Y655" s="9"/>
      <c r="Z655" s="9"/>
      <c r="AA655" s="9"/>
      <c r="AB655" s="9"/>
    </row>
    <row r="656">
      <c r="A656" s="5">
        <v>42292.0</v>
      </c>
      <c r="B656" s="6">
        <v>2015.0</v>
      </c>
      <c r="C656" s="7" t="s">
        <v>79</v>
      </c>
      <c r="D656" s="7" t="s">
        <v>53</v>
      </c>
      <c r="E656" s="7" t="s">
        <v>35</v>
      </c>
      <c r="F656" s="6">
        <v>1357.0</v>
      </c>
      <c r="G656" s="6">
        <v>53490.8</v>
      </c>
      <c r="H656" s="6">
        <v>39.42</v>
      </c>
      <c r="I656" s="8">
        <v>38.17182756079587</v>
      </c>
      <c r="J656" s="6">
        <v>51799.17</v>
      </c>
      <c r="K656" s="6">
        <v>1691.63</v>
      </c>
      <c r="L656" s="6">
        <v>3.16</v>
      </c>
      <c r="M656" s="6">
        <f t="shared" si="1"/>
        <v>1.246595431</v>
      </c>
      <c r="N656" s="6">
        <v>3.16</v>
      </c>
      <c r="O656" s="7" t="s">
        <v>45</v>
      </c>
      <c r="P656" s="7" t="s">
        <v>46</v>
      </c>
      <c r="Q656" s="7" t="s">
        <v>25</v>
      </c>
      <c r="R656" s="10">
        <v>1326.57</v>
      </c>
      <c r="S656" s="10">
        <v>365.06</v>
      </c>
      <c r="T656" s="9" t="s">
        <v>33</v>
      </c>
      <c r="U656" s="9"/>
      <c r="V656" s="9"/>
      <c r="W656" s="9"/>
      <c r="X656" s="9"/>
      <c r="Y656" s="9"/>
      <c r="Z656" s="9"/>
      <c r="AA656" s="9"/>
      <c r="AB656" s="9"/>
    </row>
    <row r="657">
      <c r="A657" s="5">
        <v>42293.0</v>
      </c>
      <c r="B657" s="6">
        <v>2015.0</v>
      </c>
      <c r="C657" s="7" t="s">
        <v>79</v>
      </c>
      <c r="D657" s="7" t="s">
        <v>54</v>
      </c>
      <c r="E657" s="7" t="s">
        <v>37</v>
      </c>
      <c r="F657" s="6">
        <v>2810.0</v>
      </c>
      <c r="G657" s="6">
        <v>110809.32</v>
      </c>
      <c r="H657" s="6">
        <v>39.43</v>
      </c>
      <c r="I657" s="8">
        <v>38.19643416370106</v>
      </c>
      <c r="J657" s="6">
        <v>107331.98</v>
      </c>
      <c r="K657" s="6">
        <v>3477.34</v>
      </c>
      <c r="L657" s="6">
        <v>3.14</v>
      </c>
      <c r="M657" s="6">
        <f t="shared" si="1"/>
        <v>1.237487544</v>
      </c>
      <c r="N657" s="6">
        <v>3.14</v>
      </c>
      <c r="O657" s="7" t="s">
        <v>45</v>
      </c>
      <c r="P657" s="7" t="s">
        <v>46</v>
      </c>
      <c r="Q657" s="7" t="s">
        <v>25</v>
      </c>
      <c r="R657" s="10">
        <v>1691.63</v>
      </c>
      <c r="S657" s="10">
        <v>1785.7</v>
      </c>
      <c r="T657" s="9" t="s">
        <v>33</v>
      </c>
      <c r="U657" s="9"/>
      <c r="V657" s="9"/>
      <c r="W657" s="9"/>
      <c r="X657" s="9"/>
      <c r="Y657" s="9"/>
      <c r="Z657" s="9"/>
      <c r="AA657" s="9"/>
      <c r="AB657" s="9"/>
    </row>
    <row r="658">
      <c r="A658" s="5">
        <v>42294.0</v>
      </c>
      <c r="B658" s="6">
        <v>2015.0</v>
      </c>
      <c r="C658" s="7" t="s">
        <v>79</v>
      </c>
      <c r="D658" s="7" t="s">
        <v>55</v>
      </c>
      <c r="E658" s="7" t="s">
        <v>39</v>
      </c>
      <c r="F658" s="6">
        <v>2829.0</v>
      </c>
      <c r="G658" s="6">
        <v>111527.01</v>
      </c>
      <c r="H658" s="6">
        <v>39.42</v>
      </c>
      <c r="I658" s="8">
        <v>38.184379639448565</v>
      </c>
      <c r="J658" s="6">
        <v>108023.61</v>
      </c>
      <c r="K658" s="6">
        <v>3503.41</v>
      </c>
      <c r="L658" s="6">
        <v>3.14</v>
      </c>
      <c r="M658" s="6">
        <f t="shared" si="1"/>
        <v>1.238391658</v>
      </c>
      <c r="N658" s="6">
        <v>3.14</v>
      </c>
      <c r="O658" s="7" t="s">
        <v>45</v>
      </c>
      <c r="P658" s="7" t="s">
        <v>46</v>
      </c>
      <c r="Q658" s="7" t="s">
        <v>25</v>
      </c>
      <c r="R658" s="10">
        <v>3477.34</v>
      </c>
      <c r="S658" s="10">
        <v>26.07</v>
      </c>
      <c r="T658" s="9" t="s">
        <v>33</v>
      </c>
      <c r="U658" s="9"/>
      <c r="V658" s="9"/>
      <c r="W658" s="9"/>
      <c r="X658" s="9"/>
      <c r="Y658" s="9"/>
      <c r="Z658" s="9"/>
      <c r="AA658" s="9"/>
      <c r="AB658" s="9"/>
    </row>
    <row r="659">
      <c r="A659" s="5">
        <v>42295.0</v>
      </c>
      <c r="B659" s="6">
        <v>2015.0</v>
      </c>
      <c r="C659" s="7" t="s">
        <v>79</v>
      </c>
      <c r="D659" s="7" t="s">
        <v>56</v>
      </c>
      <c r="E659" s="7" t="s">
        <v>41</v>
      </c>
      <c r="F659" s="6">
        <v>1517.0</v>
      </c>
      <c r="G659" s="6">
        <v>59808.14</v>
      </c>
      <c r="H659" s="6">
        <v>39.43</v>
      </c>
      <c r="I659" s="8">
        <v>38.1921292023731</v>
      </c>
      <c r="J659" s="6">
        <v>57937.46</v>
      </c>
      <c r="K659" s="6">
        <v>1870.68</v>
      </c>
      <c r="L659" s="6">
        <v>3.13</v>
      </c>
      <c r="M659" s="6">
        <f t="shared" si="1"/>
        <v>1.233144364</v>
      </c>
      <c r="N659" s="6">
        <v>3.13</v>
      </c>
      <c r="O659" s="7" t="s">
        <v>45</v>
      </c>
      <c r="P659" s="7" t="s">
        <v>46</v>
      </c>
      <c r="Q659" s="7" t="s">
        <v>25</v>
      </c>
      <c r="R659" s="10">
        <v>3503.41</v>
      </c>
      <c r="S659" s="10">
        <v>-1632.73</v>
      </c>
      <c r="T659" s="9" t="s">
        <v>29</v>
      </c>
      <c r="U659" s="9"/>
      <c r="V659" s="9"/>
      <c r="W659" s="9"/>
      <c r="X659" s="9"/>
      <c r="Y659" s="9"/>
      <c r="Z659" s="9"/>
      <c r="AA659" s="9"/>
      <c r="AB659" s="9"/>
    </row>
    <row r="660">
      <c r="A660" s="5">
        <v>42296.0</v>
      </c>
      <c r="B660" s="6">
        <v>2015.0</v>
      </c>
      <c r="C660" s="7" t="s">
        <v>79</v>
      </c>
      <c r="D660" s="7" t="s">
        <v>57</v>
      </c>
      <c r="E660" s="7" t="s">
        <v>22</v>
      </c>
      <c r="F660" s="6">
        <v>1399.0</v>
      </c>
      <c r="G660" s="6">
        <v>55166.23</v>
      </c>
      <c r="H660" s="6">
        <v>39.43</v>
      </c>
      <c r="I660" s="8">
        <v>38.19649749821301</v>
      </c>
      <c r="J660" s="6">
        <v>53436.9</v>
      </c>
      <c r="K660" s="6">
        <v>1729.33</v>
      </c>
      <c r="L660" s="6">
        <v>3.13</v>
      </c>
      <c r="M660" s="6">
        <f t="shared" si="1"/>
        <v>1.236118656</v>
      </c>
      <c r="N660" s="6">
        <v>3.13</v>
      </c>
      <c r="O660" s="7" t="s">
        <v>45</v>
      </c>
      <c r="P660" s="7" t="s">
        <v>46</v>
      </c>
      <c r="Q660" s="7" t="s">
        <v>25</v>
      </c>
      <c r="R660" s="10">
        <v>1870.68</v>
      </c>
      <c r="S660" s="10">
        <v>-141.35</v>
      </c>
      <c r="T660" s="9" t="s">
        <v>29</v>
      </c>
      <c r="U660" s="9"/>
      <c r="V660" s="9"/>
      <c r="W660" s="9"/>
      <c r="X660" s="9"/>
      <c r="Y660" s="9"/>
      <c r="Z660" s="9"/>
      <c r="AA660" s="9"/>
      <c r="AB660" s="9"/>
    </row>
    <row r="661">
      <c r="A661" s="5">
        <v>42297.0</v>
      </c>
      <c r="B661" s="6">
        <v>2015.0</v>
      </c>
      <c r="C661" s="7" t="s">
        <v>79</v>
      </c>
      <c r="D661" s="7" t="s">
        <v>58</v>
      </c>
      <c r="E661" s="7" t="s">
        <v>28</v>
      </c>
      <c r="F661" s="6">
        <v>1067.0</v>
      </c>
      <c r="G661" s="6">
        <v>42054.68</v>
      </c>
      <c r="H661" s="6">
        <v>39.41</v>
      </c>
      <c r="I661" s="8">
        <v>38.178209934395504</v>
      </c>
      <c r="J661" s="6">
        <v>40736.15</v>
      </c>
      <c r="K661" s="6">
        <v>1318.53</v>
      </c>
      <c r="L661" s="6">
        <v>3.14</v>
      </c>
      <c r="M661" s="6">
        <f t="shared" si="1"/>
        <v>1.235735708</v>
      </c>
      <c r="N661" s="6">
        <v>3.14</v>
      </c>
      <c r="O661" s="7" t="s">
        <v>45</v>
      </c>
      <c r="P661" s="7" t="s">
        <v>46</v>
      </c>
      <c r="Q661" s="7" t="s">
        <v>25</v>
      </c>
      <c r="R661" s="10">
        <v>1729.33</v>
      </c>
      <c r="S661" s="10">
        <v>-410.8</v>
      </c>
      <c r="T661" s="9" t="s">
        <v>29</v>
      </c>
      <c r="U661" s="9"/>
      <c r="V661" s="9"/>
      <c r="W661" s="9"/>
      <c r="X661" s="9"/>
      <c r="Y661" s="9"/>
      <c r="Z661" s="9"/>
      <c r="AA661" s="9"/>
      <c r="AB661" s="9"/>
    </row>
    <row r="662">
      <c r="A662" s="5">
        <v>42298.0</v>
      </c>
      <c r="B662" s="6">
        <v>2015.0</v>
      </c>
      <c r="C662" s="7" t="s">
        <v>79</v>
      </c>
      <c r="D662" s="7" t="s">
        <v>59</v>
      </c>
      <c r="E662" s="7" t="s">
        <v>32</v>
      </c>
      <c r="F662" s="6">
        <v>1361.0</v>
      </c>
      <c r="G662" s="6">
        <v>53678.18</v>
      </c>
      <c r="H662" s="6">
        <v>39.44</v>
      </c>
      <c r="I662" s="8">
        <v>38.20709772226304</v>
      </c>
      <c r="J662" s="6">
        <v>51999.86</v>
      </c>
      <c r="K662" s="6">
        <v>1678.32</v>
      </c>
      <c r="L662" s="6">
        <v>3.13</v>
      </c>
      <c r="M662" s="6">
        <f t="shared" si="1"/>
        <v>1.233152094</v>
      </c>
      <c r="N662" s="6">
        <v>3.13</v>
      </c>
      <c r="O662" s="7" t="s">
        <v>45</v>
      </c>
      <c r="P662" s="7" t="s">
        <v>46</v>
      </c>
      <c r="Q662" s="7" t="s">
        <v>25</v>
      </c>
      <c r="R662" s="10">
        <v>1318.53</v>
      </c>
      <c r="S662" s="10">
        <v>359.79</v>
      </c>
      <c r="T662" s="9" t="s">
        <v>33</v>
      </c>
      <c r="U662" s="9"/>
      <c r="V662" s="9"/>
      <c r="W662" s="9"/>
      <c r="X662" s="9"/>
      <c r="Y662" s="9"/>
      <c r="Z662" s="9"/>
      <c r="AA662" s="9"/>
      <c r="AB662" s="9"/>
    </row>
    <row r="663">
      <c r="A663" s="5">
        <v>42299.0</v>
      </c>
      <c r="B663" s="6">
        <v>2015.0</v>
      </c>
      <c r="C663" s="7" t="s">
        <v>79</v>
      </c>
      <c r="D663" s="7" t="s">
        <v>60</v>
      </c>
      <c r="E663" s="7" t="s">
        <v>35</v>
      </c>
      <c r="F663" s="6">
        <v>1419.0</v>
      </c>
      <c r="G663" s="6">
        <v>55930.17</v>
      </c>
      <c r="H663" s="6">
        <v>39.42</v>
      </c>
      <c r="I663" s="8">
        <v>38.180190274841436</v>
      </c>
      <c r="J663" s="6">
        <v>54177.69</v>
      </c>
      <c r="K663" s="6">
        <v>1752.48</v>
      </c>
      <c r="L663" s="6">
        <v>3.13</v>
      </c>
      <c r="M663" s="6">
        <f t="shared" si="1"/>
        <v>1.235010571</v>
      </c>
      <c r="N663" s="6">
        <v>3.13</v>
      </c>
      <c r="O663" s="7" t="s">
        <v>45</v>
      </c>
      <c r="P663" s="7" t="s">
        <v>46</v>
      </c>
      <c r="Q663" s="7" t="s">
        <v>25</v>
      </c>
      <c r="R663" s="10">
        <v>1678.32</v>
      </c>
      <c r="S663" s="10">
        <v>74.16</v>
      </c>
      <c r="T663" s="9" t="s">
        <v>33</v>
      </c>
      <c r="U663" s="9"/>
      <c r="V663" s="9"/>
      <c r="W663" s="9"/>
      <c r="X663" s="9"/>
      <c r="Y663" s="9"/>
      <c r="Z663" s="9"/>
      <c r="AA663" s="9"/>
      <c r="AB663" s="9"/>
    </row>
    <row r="664">
      <c r="A664" s="5">
        <v>42300.0</v>
      </c>
      <c r="B664" s="6">
        <v>2015.0</v>
      </c>
      <c r="C664" s="7" t="s">
        <v>79</v>
      </c>
      <c r="D664" s="7" t="s">
        <v>61</v>
      </c>
      <c r="E664" s="7" t="s">
        <v>37</v>
      </c>
      <c r="F664" s="6">
        <v>5042.0</v>
      </c>
      <c r="G664" s="6">
        <v>185771.0</v>
      </c>
      <c r="H664" s="6">
        <v>36.84</v>
      </c>
      <c r="I664" s="8">
        <v>38.184650932169774</v>
      </c>
      <c r="J664" s="6">
        <v>192527.01</v>
      </c>
      <c r="K664" s="6">
        <v>-6756.01</v>
      </c>
      <c r="L664" s="6">
        <v>-3.64</v>
      </c>
      <c r="M664" s="6">
        <f t="shared" si="1"/>
        <v>-1.33994645</v>
      </c>
      <c r="N664" s="6">
        <v>-3.64</v>
      </c>
      <c r="O664" s="7" t="s">
        <v>45</v>
      </c>
      <c r="P664" s="7" t="s">
        <v>46</v>
      </c>
      <c r="Q664" s="7" t="s">
        <v>25</v>
      </c>
      <c r="R664" s="10">
        <v>1752.48</v>
      </c>
      <c r="S664" s="10">
        <v>-8508.49</v>
      </c>
      <c r="T664" s="9" t="s">
        <v>29</v>
      </c>
      <c r="U664" s="9"/>
      <c r="V664" s="9"/>
      <c r="W664" s="9"/>
      <c r="X664" s="9"/>
      <c r="Y664" s="9"/>
      <c r="Z664" s="9"/>
      <c r="AA664" s="9"/>
      <c r="AB664" s="9"/>
    </row>
    <row r="665">
      <c r="A665" s="5">
        <v>42301.0</v>
      </c>
      <c r="B665" s="6">
        <v>2015.0</v>
      </c>
      <c r="C665" s="7" t="s">
        <v>79</v>
      </c>
      <c r="D665" s="7" t="s">
        <v>62</v>
      </c>
      <c r="E665" s="7" t="s">
        <v>39</v>
      </c>
      <c r="F665" s="6">
        <v>6872.0</v>
      </c>
      <c r="G665" s="6">
        <v>253116.91</v>
      </c>
      <c r="H665" s="6">
        <v>36.83</v>
      </c>
      <c r="I665" s="8">
        <v>38.18532741559954</v>
      </c>
      <c r="J665" s="6">
        <v>262409.57</v>
      </c>
      <c r="K665" s="6">
        <v>-9292.66</v>
      </c>
      <c r="L665" s="6">
        <v>-3.67</v>
      </c>
      <c r="M665" s="6">
        <f t="shared" si="1"/>
        <v>-1.352249709</v>
      </c>
      <c r="N665" s="6">
        <v>-3.67</v>
      </c>
      <c r="O665" s="7" t="s">
        <v>45</v>
      </c>
      <c r="P665" s="7" t="s">
        <v>46</v>
      </c>
      <c r="Q665" s="7" t="s">
        <v>25</v>
      </c>
      <c r="R665" s="10">
        <v>-6756.01</v>
      </c>
      <c r="S665" s="10">
        <v>-2536.65</v>
      </c>
      <c r="T665" s="9" t="s">
        <v>29</v>
      </c>
      <c r="U665" s="9"/>
      <c r="V665" s="9"/>
      <c r="W665" s="9"/>
      <c r="X665" s="9"/>
      <c r="Y665" s="9"/>
      <c r="Z665" s="9"/>
      <c r="AA665" s="9"/>
      <c r="AB665" s="9"/>
    </row>
    <row r="666">
      <c r="A666" s="5">
        <v>42302.0</v>
      </c>
      <c r="B666" s="6">
        <v>2015.0</v>
      </c>
      <c r="C666" s="7" t="s">
        <v>79</v>
      </c>
      <c r="D666" s="7" t="s">
        <v>63</v>
      </c>
      <c r="E666" s="7" t="s">
        <v>41</v>
      </c>
      <c r="F666" s="6">
        <v>3218.0</v>
      </c>
      <c r="G666" s="6">
        <v>118618.45</v>
      </c>
      <c r="H666" s="6">
        <v>36.86</v>
      </c>
      <c r="I666" s="8">
        <v>38.19616842759478</v>
      </c>
      <c r="J666" s="6">
        <v>122915.27</v>
      </c>
      <c r="K666" s="6">
        <v>-4296.81</v>
      </c>
      <c r="L666" s="6">
        <v>-3.62</v>
      </c>
      <c r="M666" s="6">
        <f t="shared" si="1"/>
        <v>-1.335242387</v>
      </c>
      <c r="N666" s="6">
        <v>-3.62</v>
      </c>
      <c r="O666" s="7" t="s">
        <v>45</v>
      </c>
      <c r="P666" s="7" t="s">
        <v>46</v>
      </c>
      <c r="Q666" s="7" t="s">
        <v>25</v>
      </c>
      <c r="R666" s="10">
        <v>-9292.66</v>
      </c>
      <c r="S666" s="10">
        <v>4995.84</v>
      </c>
      <c r="T666" s="9" t="s">
        <v>33</v>
      </c>
      <c r="U666" s="9"/>
      <c r="V666" s="9"/>
      <c r="W666" s="9"/>
      <c r="X666" s="9"/>
      <c r="Y666" s="9"/>
      <c r="Z666" s="9"/>
      <c r="AA666" s="9"/>
      <c r="AB666" s="9"/>
    </row>
    <row r="667">
      <c r="A667" s="5">
        <v>42303.0</v>
      </c>
      <c r="B667" s="6">
        <v>2015.0</v>
      </c>
      <c r="C667" s="7" t="s">
        <v>79</v>
      </c>
      <c r="D667" s="7" t="s">
        <v>64</v>
      </c>
      <c r="E667" s="7" t="s">
        <v>22</v>
      </c>
      <c r="F667" s="6">
        <v>3347.0</v>
      </c>
      <c r="G667" s="6">
        <v>123320.78</v>
      </c>
      <c r="H667" s="6">
        <v>36.85</v>
      </c>
      <c r="I667" s="8">
        <v>38.283172990737974</v>
      </c>
      <c r="J667" s="6">
        <v>128133.78</v>
      </c>
      <c r="K667" s="6">
        <v>-4812.99</v>
      </c>
      <c r="L667" s="6">
        <v>-3.9</v>
      </c>
      <c r="M667" s="6">
        <f t="shared" si="1"/>
        <v>-1.438001195</v>
      </c>
      <c r="N667" s="6">
        <v>-3.9</v>
      </c>
      <c r="O667" s="7" t="s">
        <v>45</v>
      </c>
      <c r="P667" s="7" t="s">
        <v>46</v>
      </c>
      <c r="Q667" s="7" t="s">
        <v>25</v>
      </c>
      <c r="R667" s="10">
        <v>-4296.81</v>
      </c>
      <c r="S667" s="10">
        <v>-516.18</v>
      </c>
      <c r="T667" s="9" t="s">
        <v>29</v>
      </c>
      <c r="U667" s="9"/>
      <c r="V667" s="9"/>
      <c r="W667" s="9"/>
      <c r="X667" s="9"/>
      <c r="Y667" s="9"/>
      <c r="Z667" s="9"/>
      <c r="AA667" s="9"/>
      <c r="AB667" s="9"/>
    </row>
    <row r="668">
      <c r="A668" s="5">
        <v>42304.0</v>
      </c>
      <c r="B668" s="6">
        <v>2015.0</v>
      </c>
      <c r="C668" s="7" t="s">
        <v>79</v>
      </c>
      <c r="D668" s="7" t="s">
        <v>65</v>
      </c>
      <c r="E668" s="7" t="s">
        <v>28</v>
      </c>
      <c r="F668" s="6">
        <v>3177.0</v>
      </c>
      <c r="G668" s="6">
        <v>117051.28</v>
      </c>
      <c r="H668" s="6">
        <v>36.84</v>
      </c>
      <c r="I668" s="8">
        <v>38.45609065155807</v>
      </c>
      <c r="J668" s="6">
        <v>122175.0</v>
      </c>
      <c r="K668" s="6">
        <v>-5123.72</v>
      </c>
      <c r="L668" s="6">
        <v>-4.38</v>
      </c>
      <c r="M668" s="6">
        <f t="shared" si="1"/>
        <v>-1.612754171</v>
      </c>
      <c r="N668" s="6">
        <v>-4.38</v>
      </c>
      <c r="O668" s="7" t="s">
        <v>45</v>
      </c>
      <c r="P668" s="7" t="s">
        <v>46</v>
      </c>
      <c r="Q668" s="7" t="s">
        <v>25</v>
      </c>
      <c r="R668" s="10">
        <v>-4812.99</v>
      </c>
      <c r="S668" s="10">
        <v>-310.73</v>
      </c>
      <c r="T668" s="9" t="s">
        <v>29</v>
      </c>
      <c r="U668" s="9"/>
      <c r="V668" s="9"/>
      <c r="W668" s="9"/>
      <c r="X668" s="9"/>
      <c r="Y668" s="9"/>
      <c r="Z668" s="9"/>
      <c r="AA668" s="9"/>
      <c r="AB668" s="9"/>
    </row>
    <row r="669">
      <c r="A669" s="5">
        <v>42305.0</v>
      </c>
      <c r="B669" s="6">
        <v>2015.0</v>
      </c>
      <c r="C669" s="7" t="s">
        <v>79</v>
      </c>
      <c r="D669" s="7" t="s">
        <v>66</v>
      </c>
      <c r="E669" s="7" t="s">
        <v>32</v>
      </c>
      <c r="F669" s="6">
        <v>4532.0</v>
      </c>
      <c r="G669" s="6">
        <v>159299.99</v>
      </c>
      <c r="H669" s="6">
        <v>35.15</v>
      </c>
      <c r="I669" s="8">
        <v>38.547899382171224</v>
      </c>
      <c r="J669" s="6">
        <v>174699.08</v>
      </c>
      <c r="K669" s="6">
        <v>-15399.09</v>
      </c>
      <c r="L669" s="6">
        <v>-9.67</v>
      </c>
      <c r="M669" s="6">
        <f t="shared" si="1"/>
        <v>-3.397857458</v>
      </c>
      <c r="N669" s="6">
        <v>-9.67</v>
      </c>
      <c r="O669" s="7" t="s">
        <v>45</v>
      </c>
      <c r="P669" s="7" t="s">
        <v>46</v>
      </c>
      <c r="Q669" s="7" t="s">
        <v>25</v>
      </c>
      <c r="R669" s="10">
        <v>-5123.72</v>
      </c>
      <c r="S669" s="10">
        <v>-10275.36</v>
      </c>
      <c r="T669" s="9" t="s">
        <v>29</v>
      </c>
      <c r="U669" s="9"/>
      <c r="V669" s="9"/>
      <c r="W669" s="9"/>
      <c r="X669" s="9"/>
      <c r="Y669" s="9"/>
      <c r="Z669" s="9"/>
      <c r="AA669" s="9"/>
      <c r="AB669" s="9"/>
    </row>
    <row r="670">
      <c r="A670" s="5">
        <v>42306.0</v>
      </c>
      <c r="B670" s="6">
        <v>2015.0</v>
      </c>
      <c r="C670" s="7" t="s">
        <v>79</v>
      </c>
      <c r="D670" s="7" t="s">
        <v>67</v>
      </c>
      <c r="E670" s="7" t="s">
        <v>35</v>
      </c>
      <c r="F670" s="6">
        <v>3231.0</v>
      </c>
      <c r="G670" s="6">
        <v>119047.41</v>
      </c>
      <c r="H670" s="6">
        <v>36.85</v>
      </c>
      <c r="I670" s="8">
        <v>38.48631073970907</v>
      </c>
      <c r="J670" s="6">
        <v>124349.27</v>
      </c>
      <c r="K670" s="6">
        <v>-5301.86</v>
      </c>
      <c r="L670" s="6">
        <v>-4.45</v>
      </c>
      <c r="M670" s="6">
        <f t="shared" si="1"/>
        <v>-1.640934695</v>
      </c>
      <c r="N670" s="6">
        <v>-4.45</v>
      </c>
      <c r="O670" s="7" t="s">
        <v>45</v>
      </c>
      <c r="P670" s="7" t="s">
        <v>46</v>
      </c>
      <c r="Q670" s="7" t="s">
        <v>25</v>
      </c>
      <c r="R670" s="10">
        <v>-15399.09</v>
      </c>
      <c r="S670" s="10">
        <v>10097.23</v>
      </c>
      <c r="T670" s="9" t="s">
        <v>33</v>
      </c>
      <c r="U670" s="9"/>
      <c r="V670" s="9"/>
      <c r="W670" s="9"/>
      <c r="X670" s="9"/>
      <c r="Y670" s="9"/>
      <c r="Z670" s="9"/>
      <c r="AA670" s="9"/>
      <c r="AB670" s="9"/>
    </row>
    <row r="671">
      <c r="A671" s="5">
        <v>42307.0</v>
      </c>
      <c r="B671" s="6">
        <v>2015.0</v>
      </c>
      <c r="C671" s="7" t="s">
        <v>79</v>
      </c>
      <c r="D671" s="7" t="s">
        <v>21</v>
      </c>
      <c r="E671" s="7" t="s">
        <v>37</v>
      </c>
      <c r="F671" s="6">
        <v>7731.0</v>
      </c>
      <c r="G671" s="6">
        <v>285081.97</v>
      </c>
      <c r="H671" s="6">
        <v>36.88</v>
      </c>
      <c r="I671" s="8">
        <v>38.497954986418314</v>
      </c>
      <c r="J671" s="6">
        <v>297627.69</v>
      </c>
      <c r="K671" s="6">
        <v>-12545.72</v>
      </c>
      <c r="L671" s="6">
        <v>-4.4</v>
      </c>
      <c r="M671" s="6">
        <f t="shared" si="1"/>
        <v>-1.622781012</v>
      </c>
      <c r="N671" s="6">
        <v>-4.4</v>
      </c>
      <c r="O671" s="7" t="s">
        <v>45</v>
      </c>
      <c r="P671" s="7" t="s">
        <v>46</v>
      </c>
      <c r="Q671" s="7" t="s">
        <v>25</v>
      </c>
      <c r="R671" s="10">
        <v>-5301.86</v>
      </c>
      <c r="S671" s="10">
        <v>-7243.86</v>
      </c>
      <c r="T671" s="9" t="s">
        <v>29</v>
      </c>
      <c r="U671" s="9"/>
      <c r="V671" s="9"/>
      <c r="W671" s="9"/>
      <c r="X671" s="9"/>
      <c r="Y671" s="9"/>
      <c r="Z671" s="9"/>
      <c r="AA671" s="9"/>
      <c r="AB671" s="9"/>
    </row>
    <row r="672">
      <c r="A672" s="5">
        <v>42308.0</v>
      </c>
      <c r="B672" s="6">
        <v>2015.0</v>
      </c>
      <c r="C672" s="7" t="s">
        <v>79</v>
      </c>
      <c r="D672" s="7" t="s">
        <v>27</v>
      </c>
      <c r="E672" s="7" t="s">
        <v>39</v>
      </c>
      <c r="F672" s="6">
        <v>11148.0</v>
      </c>
      <c r="G672" s="6">
        <v>391656.21</v>
      </c>
      <c r="H672" s="6">
        <v>35.13</v>
      </c>
      <c r="I672" s="8">
        <v>38.55694564047363</v>
      </c>
      <c r="J672" s="6">
        <v>429832.83</v>
      </c>
      <c r="K672" s="6">
        <v>-38176.62</v>
      </c>
      <c r="L672" s="6">
        <v>-9.75</v>
      </c>
      <c r="M672" s="6">
        <f t="shared" si="1"/>
        <v>-3.424526372</v>
      </c>
      <c r="N672" s="6">
        <v>-9.75</v>
      </c>
      <c r="O672" s="7" t="s">
        <v>45</v>
      </c>
      <c r="P672" s="7" t="s">
        <v>46</v>
      </c>
      <c r="Q672" s="7" t="s">
        <v>25</v>
      </c>
      <c r="R672" s="10">
        <v>-12545.72</v>
      </c>
      <c r="S672" s="10">
        <v>-25630.91</v>
      </c>
      <c r="T672" s="9" t="s">
        <v>29</v>
      </c>
      <c r="U672" s="9"/>
      <c r="V672" s="9"/>
      <c r="W672" s="9"/>
      <c r="X672" s="9"/>
      <c r="Y672" s="9"/>
      <c r="Z672" s="9"/>
      <c r="AA672" s="9"/>
      <c r="AB672" s="9"/>
    </row>
    <row r="673">
      <c r="A673" s="5">
        <v>42309.0</v>
      </c>
      <c r="B673" s="6">
        <v>2015.0</v>
      </c>
      <c r="C673" s="7" t="s">
        <v>80</v>
      </c>
      <c r="D673" s="7" t="s">
        <v>31</v>
      </c>
      <c r="E673" s="7" t="s">
        <v>41</v>
      </c>
      <c r="F673" s="6">
        <v>7459.0</v>
      </c>
      <c r="G673" s="6">
        <v>274814.78</v>
      </c>
      <c r="H673" s="6">
        <v>36.84</v>
      </c>
      <c r="I673" s="8">
        <v>38.60814720471913</v>
      </c>
      <c r="J673" s="6">
        <v>287978.17</v>
      </c>
      <c r="K673" s="6">
        <v>-13163.4</v>
      </c>
      <c r="L673" s="6">
        <v>-4.79</v>
      </c>
      <c r="M673" s="6">
        <f t="shared" si="1"/>
        <v>-1.764767395</v>
      </c>
      <c r="N673" s="6">
        <v>-4.79</v>
      </c>
      <c r="O673" s="7" t="s">
        <v>45</v>
      </c>
      <c r="P673" s="7" t="s">
        <v>46</v>
      </c>
      <c r="Q673" s="7" t="s">
        <v>25</v>
      </c>
      <c r="R673" s="10">
        <v>-38176.62</v>
      </c>
      <c r="S673" s="10">
        <v>25013.23</v>
      </c>
      <c r="T673" s="9" t="s">
        <v>33</v>
      </c>
      <c r="U673" s="9"/>
      <c r="V673" s="9"/>
      <c r="W673" s="9"/>
      <c r="X673" s="9"/>
      <c r="Y673" s="9"/>
      <c r="Z673" s="9"/>
      <c r="AA673" s="9"/>
      <c r="AB673" s="9"/>
    </row>
    <row r="674">
      <c r="A674" s="5">
        <v>42310.0</v>
      </c>
      <c r="B674" s="6">
        <v>2015.0</v>
      </c>
      <c r="C674" s="7" t="s">
        <v>80</v>
      </c>
      <c r="D674" s="7" t="s">
        <v>34</v>
      </c>
      <c r="E674" s="7" t="s">
        <v>22</v>
      </c>
      <c r="F674" s="6">
        <v>7316.0</v>
      </c>
      <c r="G674" s="6">
        <v>269555.02</v>
      </c>
      <c r="H674" s="6">
        <v>36.84</v>
      </c>
      <c r="I674" s="8">
        <v>38.53406096227447</v>
      </c>
      <c r="J674" s="6">
        <v>281915.19</v>
      </c>
      <c r="K674" s="6">
        <v>-12360.17</v>
      </c>
      <c r="L674" s="6">
        <v>-4.59</v>
      </c>
      <c r="M674" s="6">
        <f t="shared" si="1"/>
        <v>-1.689471022</v>
      </c>
      <c r="N674" s="6">
        <v>-4.59</v>
      </c>
      <c r="O674" s="7" t="s">
        <v>45</v>
      </c>
      <c r="P674" s="7" t="s">
        <v>46</v>
      </c>
      <c r="Q674" s="7" t="s">
        <v>25</v>
      </c>
      <c r="R674" s="10">
        <v>-13163.4</v>
      </c>
      <c r="S674" s="10">
        <v>803.23</v>
      </c>
      <c r="T674" s="9" t="s">
        <v>33</v>
      </c>
      <c r="U674" s="9"/>
      <c r="V674" s="9"/>
      <c r="W674" s="9"/>
      <c r="X674" s="9"/>
      <c r="Y674" s="9"/>
      <c r="Z674" s="9"/>
      <c r="AA674" s="9"/>
      <c r="AB674" s="9"/>
    </row>
    <row r="675">
      <c r="A675" s="5">
        <v>42311.0</v>
      </c>
      <c r="B675" s="6">
        <v>2015.0</v>
      </c>
      <c r="C675" s="7" t="s">
        <v>80</v>
      </c>
      <c r="D675" s="7" t="s">
        <v>36</v>
      </c>
      <c r="E675" s="7" t="s">
        <v>28</v>
      </c>
      <c r="F675" s="6">
        <v>5211.0</v>
      </c>
      <c r="G675" s="6">
        <v>192001.03</v>
      </c>
      <c r="H675" s="6">
        <v>36.85</v>
      </c>
      <c r="I675" s="8">
        <v>38.596388409134526</v>
      </c>
      <c r="J675" s="6">
        <v>201125.78</v>
      </c>
      <c r="K675" s="6">
        <v>-9124.74</v>
      </c>
      <c r="L675" s="6">
        <v>-4.75</v>
      </c>
      <c r="M675" s="6">
        <f t="shared" si="1"/>
        <v>-1.751053541</v>
      </c>
      <c r="N675" s="6">
        <v>-4.75</v>
      </c>
      <c r="O675" s="7" t="s">
        <v>45</v>
      </c>
      <c r="P675" s="7" t="s">
        <v>46</v>
      </c>
      <c r="Q675" s="7" t="s">
        <v>25</v>
      </c>
      <c r="R675" s="10">
        <v>-12360.17</v>
      </c>
      <c r="S675" s="10">
        <v>3235.43</v>
      </c>
      <c r="T675" s="9" t="s">
        <v>33</v>
      </c>
      <c r="U675" s="9"/>
      <c r="V675" s="9"/>
      <c r="W675" s="9"/>
      <c r="X675" s="9"/>
      <c r="Y675" s="9"/>
      <c r="Z675" s="9"/>
      <c r="AA675" s="9"/>
      <c r="AB675" s="9"/>
    </row>
    <row r="676">
      <c r="A676" s="5">
        <v>42312.0</v>
      </c>
      <c r="B676" s="6">
        <v>2015.0</v>
      </c>
      <c r="C676" s="7" t="s">
        <v>80</v>
      </c>
      <c r="D676" s="7" t="s">
        <v>38</v>
      </c>
      <c r="E676" s="7" t="s">
        <v>32</v>
      </c>
      <c r="F676" s="6">
        <v>5731.0</v>
      </c>
      <c r="G676" s="6">
        <v>201367.79</v>
      </c>
      <c r="H676" s="6">
        <v>35.14</v>
      </c>
      <c r="I676" s="8">
        <v>38.4889199092654</v>
      </c>
      <c r="J676" s="6">
        <v>220580.0</v>
      </c>
      <c r="K676" s="6">
        <v>-19212.21</v>
      </c>
      <c r="L676" s="6">
        <v>-9.54</v>
      </c>
      <c r="M676" s="6">
        <f t="shared" si="1"/>
        <v>-3.352331181</v>
      </c>
      <c r="N676" s="6">
        <v>-9.54</v>
      </c>
      <c r="O676" s="7" t="s">
        <v>45</v>
      </c>
      <c r="P676" s="7" t="s">
        <v>46</v>
      </c>
      <c r="Q676" s="7" t="s">
        <v>25</v>
      </c>
      <c r="R676" s="10">
        <v>-9124.74</v>
      </c>
      <c r="S676" s="10">
        <v>-10087.47</v>
      </c>
      <c r="T676" s="9" t="s">
        <v>29</v>
      </c>
      <c r="U676" s="9"/>
      <c r="V676" s="9"/>
      <c r="W676" s="9"/>
      <c r="X676" s="9"/>
      <c r="Y676" s="9"/>
      <c r="Z676" s="9"/>
      <c r="AA676" s="9"/>
      <c r="AB676" s="9"/>
    </row>
    <row r="677">
      <c r="A677" s="5">
        <v>42313.0</v>
      </c>
      <c r="B677" s="6">
        <v>2015.0</v>
      </c>
      <c r="C677" s="7" t="s">
        <v>80</v>
      </c>
      <c r="D677" s="7" t="s">
        <v>40</v>
      </c>
      <c r="E677" s="7" t="s">
        <v>35</v>
      </c>
      <c r="F677" s="6">
        <v>3036.0</v>
      </c>
      <c r="G677" s="6">
        <v>111874.56</v>
      </c>
      <c r="H677" s="6">
        <v>36.85</v>
      </c>
      <c r="I677" s="8">
        <v>38.417994071146246</v>
      </c>
      <c r="J677" s="6">
        <v>116637.03</v>
      </c>
      <c r="K677" s="6">
        <v>-4762.48</v>
      </c>
      <c r="L677" s="6">
        <v>-4.26</v>
      </c>
      <c r="M677" s="6">
        <f t="shared" si="1"/>
        <v>-1.568669302</v>
      </c>
      <c r="N677" s="6">
        <v>-4.26</v>
      </c>
      <c r="O677" s="7" t="s">
        <v>45</v>
      </c>
      <c r="P677" s="7" t="s">
        <v>46</v>
      </c>
      <c r="Q677" s="7" t="s">
        <v>25</v>
      </c>
      <c r="R677" s="10">
        <v>-19212.21</v>
      </c>
      <c r="S677" s="10">
        <v>14449.73</v>
      </c>
      <c r="T677" s="9" t="s">
        <v>33</v>
      </c>
      <c r="U677" s="9"/>
      <c r="V677" s="9"/>
      <c r="W677" s="9"/>
      <c r="X677" s="9"/>
      <c r="Y677" s="9"/>
      <c r="Z677" s="9"/>
      <c r="AA677" s="9"/>
      <c r="AB677" s="9"/>
    </row>
    <row r="678">
      <c r="A678" s="5">
        <v>42314.0</v>
      </c>
      <c r="B678" s="6">
        <v>2015.0</v>
      </c>
      <c r="C678" s="7" t="s">
        <v>80</v>
      </c>
      <c r="D678" s="7" t="s">
        <v>42</v>
      </c>
      <c r="E678" s="7" t="s">
        <v>37</v>
      </c>
      <c r="F678" s="6">
        <v>5822.0</v>
      </c>
      <c r="G678" s="6">
        <v>214540.33</v>
      </c>
      <c r="H678" s="6">
        <v>36.85</v>
      </c>
      <c r="I678" s="8">
        <v>38.42982308485057</v>
      </c>
      <c r="J678" s="6">
        <v>223738.43</v>
      </c>
      <c r="K678" s="6">
        <v>-9198.1</v>
      </c>
      <c r="L678" s="6">
        <v>-4.29</v>
      </c>
      <c r="M678" s="6">
        <f t="shared" si="1"/>
        <v>-1.579886637</v>
      </c>
      <c r="N678" s="6">
        <v>-4.29</v>
      </c>
      <c r="O678" s="7" t="s">
        <v>45</v>
      </c>
      <c r="P678" s="7" t="s">
        <v>46</v>
      </c>
      <c r="Q678" s="7" t="s">
        <v>25</v>
      </c>
      <c r="R678" s="10">
        <v>-4762.48</v>
      </c>
      <c r="S678" s="10">
        <v>-4435.62</v>
      </c>
      <c r="T678" s="9" t="s">
        <v>29</v>
      </c>
      <c r="U678" s="9"/>
      <c r="V678" s="9"/>
      <c r="W678" s="9"/>
      <c r="X678" s="9"/>
      <c r="Y678" s="9"/>
      <c r="Z678" s="9"/>
      <c r="AA678" s="9"/>
      <c r="AB678" s="9"/>
    </row>
    <row r="679">
      <c r="A679" s="5">
        <v>42315.0</v>
      </c>
      <c r="B679" s="6">
        <v>2015.0</v>
      </c>
      <c r="C679" s="7" t="s">
        <v>80</v>
      </c>
      <c r="D679" s="7" t="s">
        <v>43</v>
      </c>
      <c r="E679" s="7" t="s">
        <v>39</v>
      </c>
      <c r="F679" s="6">
        <v>7987.0</v>
      </c>
      <c r="G679" s="6">
        <v>280264.24</v>
      </c>
      <c r="H679" s="6">
        <v>35.09</v>
      </c>
      <c r="I679" s="8">
        <v>38.42934268185802</v>
      </c>
      <c r="J679" s="6">
        <v>306935.16</v>
      </c>
      <c r="K679" s="6">
        <v>-26670.92</v>
      </c>
      <c r="L679" s="6">
        <v>-9.52</v>
      </c>
      <c r="M679" s="6">
        <f t="shared" si="1"/>
        <v>-3.339291348</v>
      </c>
      <c r="N679" s="6">
        <v>-9.52</v>
      </c>
      <c r="O679" s="7" t="s">
        <v>45</v>
      </c>
      <c r="P679" s="7" t="s">
        <v>46</v>
      </c>
      <c r="Q679" s="7" t="s">
        <v>25</v>
      </c>
      <c r="R679" s="10">
        <v>-9198.1</v>
      </c>
      <c r="S679" s="10">
        <v>-17472.82</v>
      </c>
      <c r="T679" s="9" t="s">
        <v>29</v>
      </c>
      <c r="U679" s="9"/>
      <c r="V679" s="9"/>
      <c r="W679" s="9"/>
      <c r="X679" s="9"/>
      <c r="Y679" s="9"/>
      <c r="Z679" s="9"/>
      <c r="AA679" s="9"/>
      <c r="AB679" s="9"/>
    </row>
    <row r="680">
      <c r="A680" s="5">
        <v>42316.0</v>
      </c>
      <c r="B680" s="6">
        <v>2015.0</v>
      </c>
      <c r="C680" s="7" t="s">
        <v>80</v>
      </c>
      <c r="D680" s="7" t="s">
        <v>44</v>
      </c>
      <c r="E680" s="7" t="s">
        <v>41</v>
      </c>
      <c r="F680" s="6">
        <v>3640.0</v>
      </c>
      <c r="G680" s="6">
        <v>134136.73</v>
      </c>
      <c r="H680" s="6">
        <v>36.85</v>
      </c>
      <c r="I680" s="8">
        <v>38.52645604395604</v>
      </c>
      <c r="J680" s="6">
        <v>140236.3</v>
      </c>
      <c r="K680" s="6">
        <v>-6099.57</v>
      </c>
      <c r="L680" s="6">
        <v>-4.55</v>
      </c>
      <c r="M680" s="6">
        <f t="shared" si="1"/>
        <v>-1.675706044</v>
      </c>
      <c r="N680" s="6">
        <v>-4.55</v>
      </c>
      <c r="O680" s="7" t="s">
        <v>45</v>
      </c>
      <c r="P680" s="7" t="s">
        <v>46</v>
      </c>
      <c r="Q680" s="7" t="s">
        <v>25</v>
      </c>
      <c r="R680" s="10">
        <v>-26670.92</v>
      </c>
      <c r="S680" s="10">
        <v>20571.34</v>
      </c>
      <c r="T680" s="9" t="s">
        <v>33</v>
      </c>
      <c r="U680" s="9"/>
      <c r="V680" s="9"/>
      <c r="W680" s="9"/>
      <c r="X680" s="9"/>
      <c r="Y680" s="9"/>
      <c r="Z680" s="9"/>
      <c r="AA680" s="9"/>
      <c r="AB680" s="9"/>
    </row>
    <row r="681">
      <c r="A681" s="5">
        <v>42317.0</v>
      </c>
      <c r="B681" s="6">
        <v>2015.0</v>
      </c>
      <c r="C681" s="7" t="s">
        <v>80</v>
      </c>
      <c r="D681" s="7" t="s">
        <v>47</v>
      </c>
      <c r="E681" s="7" t="s">
        <v>22</v>
      </c>
      <c r="F681" s="6">
        <v>2338.0</v>
      </c>
      <c r="G681" s="6">
        <v>94243.47</v>
      </c>
      <c r="H681" s="6">
        <v>40.31</v>
      </c>
      <c r="I681" s="8">
        <v>38.472754491017966</v>
      </c>
      <c r="J681" s="6">
        <v>89949.3</v>
      </c>
      <c r="K681" s="6">
        <v>4294.16</v>
      </c>
      <c r="L681" s="6">
        <v>4.56</v>
      </c>
      <c r="M681" s="6">
        <f t="shared" si="1"/>
        <v>1.836680924</v>
      </c>
      <c r="N681" s="6">
        <v>4.56</v>
      </c>
      <c r="O681" s="7" t="s">
        <v>45</v>
      </c>
      <c r="P681" s="7" t="s">
        <v>46</v>
      </c>
      <c r="Q681" s="7" t="s">
        <v>25</v>
      </c>
      <c r="R681" s="10">
        <v>-6099.57</v>
      </c>
      <c r="S681" s="10">
        <v>10393.74</v>
      </c>
      <c r="T681" s="9" t="s">
        <v>33</v>
      </c>
      <c r="U681" s="9"/>
      <c r="V681" s="9"/>
      <c r="W681" s="9"/>
      <c r="X681" s="9"/>
      <c r="Y681" s="9"/>
      <c r="Z681" s="9"/>
      <c r="AA681" s="9"/>
      <c r="AB681" s="9"/>
    </row>
    <row r="682">
      <c r="A682" s="5">
        <v>42318.0</v>
      </c>
      <c r="B682" s="6">
        <v>2015.0</v>
      </c>
      <c r="C682" s="7" t="s">
        <v>80</v>
      </c>
      <c r="D682" s="7" t="s">
        <v>48</v>
      </c>
      <c r="E682" s="7" t="s">
        <v>28</v>
      </c>
      <c r="F682" s="6">
        <v>3744.0</v>
      </c>
      <c r="G682" s="6">
        <v>131436.2</v>
      </c>
      <c r="H682" s="6">
        <v>35.11</v>
      </c>
      <c r="I682" s="8">
        <v>38.41436698717949</v>
      </c>
      <c r="J682" s="6">
        <v>143823.39</v>
      </c>
      <c r="K682" s="6">
        <v>-12387.19</v>
      </c>
      <c r="L682" s="6">
        <v>-9.42</v>
      </c>
      <c r="M682" s="6">
        <f t="shared" si="1"/>
        <v>-3.308544338</v>
      </c>
      <c r="N682" s="6">
        <v>-9.42</v>
      </c>
      <c r="O682" s="7" t="s">
        <v>45</v>
      </c>
      <c r="P682" s="7" t="s">
        <v>46</v>
      </c>
      <c r="Q682" s="7" t="s">
        <v>25</v>
      </c>
      <c r="R682" s="10">
        <v>4294.16</v>
      </c>
      <c r="S682" s="10">
        <v>-16681.35</v>
      </c>
      <c r="T682" s="9" t="s">
        <v>29</v>
      </c>
      <c r="U682" s="9"/>
      <c r="V682" s="9"/>
      <c r="W682" s="9"/>
      <c r="X682" s="9"/>
      <c r="Y682" s="9"/>
      <c r="Z682" s="9"/>
      <c r="AA682" s="9"/>
      <c r="AB682" s="9"/>
    </row>
    <row r="683">
      <c r="A683" s="5">
        <v>42319.0</v>
      </c>
      <c r="B683" s="6">
        <v>2015.0</v>
      </c>
      <c r="C683" s="7" t="s">
        <v>80</v>
      </c>
      <c r="D683" s="7" t="s">
        <v>49</v>
      </c>
      <c r="E683" s="7" t="s">
        <v>32</v>
      </c>
      <c r="F683" s="6">
        <v>4216.0</v>
      </c>
      <c r="G683" s="6">
        <v>147893.94</v>
      </c>
      <c r="H683" s="6">
        <v>35.08</v>
      </c>
      <c r="I683" s="8">
        <v>38.34573055028463</v>
      </c>
      <c r="J683" s="6">
        <v>161665.6</v>
      </c>
      <c r="K683" s="6">
        <v>-13771.66</v>
      </c>
      <c r="L683" s="6">
        <v>-9.31</v>
      </c>
      <c r="M683" s="6">
        <f t="shared" si="1"/>
        <v>-3.26652277</v>
      </c>
      <c r="N683" s="6">
        <v>-9.31</v>
      </c>
      <c r="O683" s="7" t="s">
        <v>45</v>
      </c>
      <c r="P683" s="7" t="s">
        <v>46</v>
      </c>
      <c r="Q683" s="7" t="s">
        <v>25</v>
      </c>
      <c r="R683" s="10">
        <v>-12387.19</v>
      </c>
      <c r="S683" s="10">
        <v>-1384.47</v>
      </c>
      <c r="T683" s="9" t="s">
        <v>29</v>
      </c>
      <c r="U683" s="9"/>
      <c r="V683" s="9"/>
      <c r="W683" s="9"/>
      <c r="X683" s="9"/>
      <c r="Y683" s="9"/>
      <c r="Z683" s="9"/>
      <c r="AA683" s="9"/>
      <c r="AB683" s="9"/>
    </row>
    <row r="684">
      <c r="A684" s="5">
        <v>42320.0</v>
      </c>
      <c r="B684" s="6">
        <v>2015.0</v>
      </c>
      <c r="C684" s="7" t="s">
        <v>80</v>
      </c>
      <c r="D684" s="7" t="s">
        <v>50</v>
      </c>
      <c r="E684" s="7" t="s">
        <v>35</v>
      </c>
      <c r="F684" s="6">
        <v>4000.0</v>
      </c>
      <c r="G684" s="6">
        <v>140238.39</v>
      </c>
      <c r="H684" s="6">
        <v>35.06</v>
      </c>
      <c r="I684" s="8">
        <v>38.370362500000006</v>
      </c>
      <c r="J684" s="6">
        <v>153481.45</v>
      </c>
      <c r="K684" s="6">
        <v>-13243.06</v>
      </c>
      <c r="L684" s="6">
        <v>-9.44</v>
      </c>
      <c r="M684" s="6">
        <f t="shared" si="1"/>
        <v>-3.310765</v>
      </c>
      <c r="N684" s="6">
        <v>-9.44</v>
      </c>
      <c r="O684" s="7" t="s">
        <v>45</v>
      </c>
      <c r="P684" s="7" t="s">
        <v>46</v>
      </c>
      <c r="Q684" s="7" t="s">
        <v>25</v>
      </c>
      <c r="R684" s="10">
        <v>-13771.66</v>
      </c>
      <c r="S684" s="10">
        <v>528.6</v>
      </c>
      <c r="T684" s="9" t="s">
        <v>33</v>
      </c>
      <c r="U684" s="9"/>
      <c r="V684" s="9"/>
      <c r="W684" s="9"/>
      <c r="X684" s="9"/>
      <c r="Y684" s="9"/>
      <c r="Z684" s="9"/>
      <c r="AA684" s="9"/>
      <c r="AB684" s="9"/>
    </row>
    <row r="685">
      <c r="A685" s="5">
        <v>42321.0</v>
      </c>
      <c r="B685" s="6">
        <v>2015.0</v>
      </c>
      <c r="C685" s="7" t="s">
        <v>80</v>
      </c>
      <c r="D685" s="7" t="s">
        <v>51</v>
      </c>
      <c r="E685" s="7" t="s">
        <v>37</v>
      </c>
      <c r="F685" s="6">
        <v>10204.0</v>
      </c>
      <c r="G685" s="6">
        <v>358183.77</v>
      </c>
      <c r="H685" s="6">
        <v>35.1</v>
      </c>
      <c r="I685" s="8">
        <v>38.348718149745196</v>
      </c>
      <c r="J685" s="6">
        <v>391310.32</v>
      </c>
      <c r="K685" s="6">
        <v>-33126.55</v>
      </c>
      <c r="L685" s="6">
        <v>-9.25</v>
      </c>
      <c r="M685" s="6">
        <f t="shared" si="1"/>
        <v>-3.246427871</v>
      </c>
      <c r="N685" s="6">
        <v>-9.25</v>
      </c>
      <c r="O685" s="7" t="s">
        <v>45</v>
      </c>
      <c r="P685" s="7" t="s">
        <v>46</v>
      </c>
      <c r="Q685" s="7" t="s">
        <v>25</v>
      </c>
      <c r="R685" s="10">
        <v>-13243.06</v>
      </c>
      <c r="S685" s="10">
        <v>-19883.48</v>
      </c>
      <c r="T685" s="9" t="s">
        <v>29</v>
      </c>
      <c r="U685" s="9"/>
      <c r="V685" s="9"/>
      <c r="W685" s="9"/>
      <c r="X685" s="9"/>
      <c r="Y685" s="9"/>
      <c r="Z685" s="9"/>
      <c r="AA685" s="9"/>
      <c r="AB685" s="9"/>
    </row>
    <row r="686">
      <c r="A686" s="5">
        <v>42322.0</v>
      </c>
      <c r="B686" s="6">
        <v>2015.0</v>
      </c>
      <c r="C686" s="7" t="s">
        <v>80</v>
      </c>
      <c r="D686" s="7" t="s">
        <v>52</v>
      </c>
      <c r="E686" s="7" t="s">
        <v>39</v>
      </c>
      <c r="F686" s="6">
        <v>10769.0</v>
      </c>
      <c r="G686" s="6">
        <v>377937.14</v>
      </c>
      <c r="H686" s="6">
        <v>35.09</v>
      </c>
      <c r="I686" s="8">
        <v>38.351771752251835</v>
      </c>
      <c r="J686" s="6">
        <v>413010.23</v>
      </c>
      <c r="K686" s="6">
        <v>-35073.09</v>
      </c>
      <c r="L686" s="6">
        <v>-9.28</v>
      </c>
      <c r="M686" s="6">
        <f t="shared" si="1"/>
        <v>-3.256856718</v>
      </c>
      <c r="N686" s="6">
        <v>-9.28</v>
      </c>
      <c r="O686" s="7" t="s">
        <v>45</v>
      </c>
      <c r="P686" s="7" t="s">
        <v>46</v>
      </c>
      <c r="Q686" s="7" t="s">
        <v>25</v>
      </c>
      <c r="R686" s="10">
        <v>-33126.55</v>
      </c>
      <c r="S686" s="10">
        <v>-1946.54</v>
      </c>
      <c r="T686" s="9" t="s">
        <v>29</v>
      </c>
      <c r="U686" s="9"/>
      <c r="V686" s="9"/>
      <c r="W686" s="9"/>
      <c r="X686" s="9"/>
      <c r="Y686" s="9"/>
      <c r="Z686" s="9"/>
      <c r="AA686" s="9"/>
      <c r="AB686" s="9"/>
    </row>
    <row r="687">
      <c r="A687" s="5">
        <v>42323.0</v>
      </c>
      <c r="B687" s="6">
        <v>2015.0</v>
      </c>
      <c r="C687" s="7" t="s">
        <v>80</v>
      </c>
      <c r="D687" s="7" t="s">
        <v>53</v>
      </c>
      <c r="E687" s="7" t="s">
        <v>41</v>
      </c>
      <c r="F687" s="6">
        <v>4803.0</v>
      </c>
      <c r="G687" s="6">
        <v>168729.96</v>
      </c>
      <c r="H687" s="6">
        <v>35.13</v>
      </c>
      <c r="I687" s="8">
        <v>38.44961274203622</v>
      </c>
      <c r="J687" s="6">
        <v>184673.49</v>
      </c>
      <c r="K687" s="6">
        <v>-15943.53</v>
      </c>
      <c r="L687" s="6">
        <v>-9.45</v>
      </c>
      <c r="M687" s="6">
        <f t="shared" si="1"/>
        <v>-3.319494066</v>
      </c>
      <c r="N687" s="6">
        <v>-9.45</v>
      </c>
      <c r="O687" s="7" t="s">
        <v>45</v>
      </c>
      <c r="P687" s="7" t="s">
        <v>46</v>
      </c>
      <c r="Q687" s="7" t="s">
        <v>25</v>
      </c>
      <c r="R687" s="10">
        <v>-35073.09</v>
      </c>
      <c r="S687" s="10">
        <v>19129.56</v>
      </c>
      <c r="T687" s="9" t="s">
        <v>33</v>
      </c>
      <c r="U687" s="9"/>
      <c r="V687" s="9"/>
      <c r="W687" s="9"/>
      <c r="X687" s="9"/>
      <c r="Y687" s="9"/>
      <c r="Z687" s="9"/>
      <c r="AA687" s="9"/>
      <c r="AB687" s="9"/>
    </row>
    <row r="688">
      <c r="A688" s="5">
        <v>42324.0</v>
      </c>
      <c r="B688" s="6">
        <v>2015.0</v>
      </c>
      <c r="C688" s="7" t="s">
        <v>80</v>
      </c>
      <c r="D688" s="7" t="s">
        <v>54</v>
      </c>
      <c r="E688" s="7" t="s">
        <v>22</v>
      </c>
      <c r="F688" s="6">
        <v>5042.0</v>
      </c>
      <c r="G688" s="6">
        <v>177192.57</v>
      </c>
      <c r="H688" s="6">
        <v>35.14</v>
      </c>
      <c r="I688" s="8">
        <v>38.40049583498612</v>
      </c>
      <c r="J688" s="6">
        <v>193615.3</v>
      </c>
      <c r="K688" s="6">
        <v>-16422.73</v>
      </c>
      <c r="L688" s="6">
        <v>-9.27</v>
      </c>
      <c r="M688" s="6">
        <f t="shared" si="1"/>
        <v>-3.257185641</v>
      </c>
      <c r="N688" s="6">
        <v>-9.27</v>
      </c>
      <c r="O688" s="7" t="s">
        <v>45</v>
      </c>
      <c r="P688" s="7" t="s">
        <v>46</v>
      </c>
      <c r="Q688" s="7" t="s">
        <v>25</v>
      </c>
      <c r="R688" s="10">
        <v>-15943.53</v>
      </c>
      <c r="S688" s="10">
        <v>-479.21</v>
      </c>
      <c r="T688" s="9" t="s">
        <v>29</v>
      </c>
      <c r="U688" s="9"/>
      <c r="V688" s="9"/>
      <c r="W688" s="9"/>
      <c r="X688" s="9"/>
      <c r="Y688" s="9"/>
      <c r="Z688" s="9"/>
      <c r="AA688" s="9"/>
      <c r="AB688" s="9"/>
    </row>
    <row r="689">
      <c r="A689" s="5">
        <v>42325.0</v>
      </c>
      <c r="B689" s="6">
        <v>2015.0</v>
      </c>
      <c r="C689" s="7" t="s">
        <v>80</v>
      </c>
      <c r="D689" s="7" t="s">
        <v>55</v>
      </c>
      <c r="E689" s="7" t="s">
        <v>28</v>
      </c>
      <c r="F689" s="6">
        <v>4342.0</v>
      </c>
      <c r="G689" s="6">
        <v>152368.75</v>
      </c>
      <c r="H689" s="6">
        <v>35.09</v>
      </c>
      <c r="I689" s="8">
        <v>38.375257945647164</v>
      </c>
      <c r="J689" s="6">
        <v>166625.37</v>
      </c>
      <c r="K689" s="6">
        <v>-14256.62</v>
      </c>
      <c r="L689" s="6">
        <v>-9.36</v>
      </c>
      <c r="M689" s="6">
        <f t="shared" si="1"/>
        <v>-3.283422386</v>
      </c>
      <c r="N689" s="6">
        <v>-9.36</v>
      </c>
      <c r="O689" s="7" t="s">
        <v>45</v>
      </c>
      <c r="P689" s="7" t="s">
        <v>46</v>
      </c>
      <c r="Q689" s="7" t="s">
        <v>25</v>
      </c>
      <c r="R689" s="10">
        <v>-16422.73</v>
      </c>
      <c r="S689" s="10">
        <v>2166.12</v>
      </c>
      <c r="T689" s="9" t="s">
        <v>33</v>
      </c>
      <c r="U689" s="9"/>
      <c r="V689" s="9"/>
      <c r="W689" s="9"/>
      <c r="X689" s="9"/>
      <c r="Y689" s="9"/>
      <c r="Z689" s="9"/>
      <c r="AA689" s="9"/>
      <c r="AB689" s="9"/>
    </row>
    <row r="690">
      <c r="A690" s="5">
        <v>42326.0</v>
      </c>
      <c r="B690" s="6">
        <v>2015.0</v>
      </c>
      <c r="C690" s="7" t="s">
        <v>80</v>
      </c>
      <c r="D690" s="7" t="s">
        <v>56</v>
      </c>
      <c r="E690" s="7" t="s">
        <v>32</v>
      </c>
      <c r="F690" s="6">
        <v>4202.0</v>
      </c>
      <c r="G690" s="6">
        <v>147471.8</v>
      </c>
      <c r="H690" s="6">
        <v>35.1</v>
      </c>
      <c r="I690" s="8">
        <v>38.410975725844835</v>
      </c>
      <c r="J690" s="6">
        <v>161402.92</v>
      </c>
      <c r="K690" s="6">
        <v>-13931.11</v>
      </c>
      <c r="L690" s="6">
        <v>-9.45</v>
      </c>
      <c r="M690" s="6">
        <f t="shared" si="1"/>
        <v>-3.315352213</v>
      </c>
      <c r="N690" s="6">
        <v>-9.45</v>
      </c>
      <c r="O690" s="7" t="s">
        <v>45</v>
      </c>
      <c r="P690" s="7" t="s">
        <v>46</v>
      </c>
      <c r="Q690" s="7" t="s">
        <v>25</v>
      </c>
      <c r="R690" s="10">
        <v>-14256.62</v>
      </c>
      <c r="S690" s="10">
        <v>325.5</v>
      </c>
      <c r="T690" s="9" t="s">
        <v>33</v>
      </c>
      <c r="U690" s="9"/>
      <c r="V690" s="9"/>
      <c r="W690" s="9"/>
      <c r="X690" s="9"/>
      <c r="Y690" s="9"/>
      <c r="Z690" s="9"/>
      <c r="AA690" s="9"/>
      <c r="AB690" s="9"/>
    </row>
    <row r="691">
      <c r="A691" s="5">
        <v>42327.0</v>
      </c>
      <c r="B691" s="6">
        <v>2015.0</v>
      </c>
      <c r="C691" s="7" t="s">
        <v>80</v>
      </c>
      <c r="D691" s="7" t="s">
        <v>57</v>
      </c>
      <c r="E691" s="7" t="s">
        <v>35</v>
      </c>
      <c r="F691" s="6">
        <v>4151.0</v>
      </c>
      <c r="G691" s="6">
        <v>145697.15</v>
      </c>
      <c r="H691" s="6">
        <v>35.1</v>
      </c>
      <c r="I691" s="8">
        <v>38.380537219946994</v>
      </c>
      <c r="J691" s="6">
        <v>159317.61</v>
      </c>
      <c r="K691" s="6">
        <v>-13620.46</v>
      </c>
      <c r="L691" s="6">
        <v>-9.35</v>
      </c>
      <c r="M691" s="6">
        <f t="shared" si="1"/>
        <v>-3.281247892</v>
      </c>
      <c r="N691" s="6">
        <v>-9.35</v>
      </c>
      <c r="O691" s="7" t="s">
        <v>45</v>
      </c>
      <c r="P691" s="7" t="s">
        <v>46</v>
      </c>
      <c r="Q691" s="7" t="s">
        <v>25</v>
      </c>
      <c r="R691" s="10">
        <v>-13931.11</v>
      </c>
      <c r="S691" s="10">
        <v>310.66</v>
      </c>
      <c r="T691" s="9" t="s">
        <v>33</v>
      </c>
      <c r="U691" s="9"/>
      <c r="V691" s="9"/>
      <c r="W691" s="9"/>
      <c r="X691" s="9"/>
      <c r="Y691" s="9"/>
      <c r="Z691" s="9"/>
      <c r="AA691" s="9"/>
      <c r="AB691" s="9"/>
    </row>
    <row r="692">
      <c r="A692" s="5">
        <v>42328.0</v>
      </c>
      <c r="B692" s="6">
        <v>2015.0</v>
      </c>
      <c r="C692" s="7" t="s">
        <v>80</v>
      </c>
      <c r="D692" s="7" t="s">
        <v>58</v>
      </c>
      <c r="E692" s="7" t="s">
        <v>37</v>
      </c>
      <c r="F692" s="6">
        <v>8567.0</v>
      </c>
      <c r="G692" s="6">
        <v>301033.99</v>
      </c>
      <c r="H692" s="6">
        <v>35.14</v>
      </c>
      <c r="I692" s="8">
        <v>38.39910587136688</v>
      </c>
      <c r="J692" s="6">
        <v>328965.14</v>
      </c>
      <c r="K692" s="6">
        <v>-27931.16</v>
      </c>
      <c r="L692" s="6">
        <v>-9.28</v>
      </c>
      <c r="M692" s="6">
        <f t="shared" si="1"/>
        <v>-3.260319832</v>
      </c>
      <c r="N692" s="6">
        <v>-9.28</v>
      </c>
      <c r="O692" s="7" t="s">
        <v>45</v>
      </c>
      <c r="P692" s="7" t="s">
        <v>46</v>
      </c>
      <c r="Q692" s="7" t="s">
        <v>25</v>
      </c>
      <c r="R692" s="10">
        <v>-13620.46</v>
      </c>
      <c r="S692" s="10">
        <v>-14310.7</v>
      </c>
      <c r="T692" s="9" t="s">
        <v>29</v>
      </c>
      <c r="U692" s="9"/>
      <c r="V692" s="9"/>
      <c r="W692" s="9"/>
      <c r="X692" s="9"/>
      <c r="Y692" s="9"/>
      <c r="Z692" s="9"/>
      <c r="AA692" s="9"/>
      <c r="AB692" s="9"/>
    </row>
    <row r="693">
      <c r="A693" s="5">
        <v>42329.0</v>
      </c>
      <c r="B693" s="6">
        <v>2015.0</v>
      </c>
      <c r="C693" s="7" t="s">
        <v>80</v>
      </c>
      <c r="D693" s="7" t="s">
        <v>59</v>
      </c>
      <c r="E693" s="7" t="s">
        <v>39</v>
      </c>
      <c r="F693" s="6">
        <v>8811.0</v>
      </c>
      <c r="G693" s="6">
        <v>309518.07</v>
      </c>
      <c r="H693" s="6">
        <v>35.13</v>
      </c>
      <c r="I693" s="8">
        <v>38.44285779139712</v>
      </c>
      <c r="J693" s="6">
        <v>338720.02</v>
      </c>
      <c r="K693" s="6">
        <v>-29201.95</v>
      </c>
      <c r="L693" s="6">
        <v>-9.43</v>
      </c>
      <c r="M693" s="6">
        <f t="shared" si="1"/>
        <v>-3.314260583</v>
      </c>
      <c r="N693" s="6">
        <v>-9.43</v>
      </c>
      <c r="O693" s="7" t="s">
        <v>45</v>
      </c>
      <c r="P693" s="7" t="s">
        <v>46</v>
      </c>
      <c r="Q693" s="7" t="s">
        <v>25</v>
      </c>
      <c r="R693" s="10">
        <v>-27931.16</v>
      </c>
      <c r="S693" s="10">
        <v>-1270.79</v>
      </c>
      <c r="T693" s="9" t="s">
        <v>29</v>
      </c>
      <c r="U693" s="9"/>
      <c r="V693" s="9"/>
      <c r="W693" s="9"/>
      <c r="X693" s="9"/>
      <c r="Y693" s="9"/>
      <c r="Z693" s="9"/>
      <c r="AA693" s="9"/>
      <c r="AB693" s="9"/>
    </row>
    <row r="694">
      <c r="A694" s="5">
        <v>42330.0</v>
      </c>
      <c r="B694" s="6">
        <v>2015.0</v>
      </c>
      <c r="C694" s="7" t="s">
        <v>80</v>
      </c>
      <c r="D694" s="7" t="s">
        <v>60</v>
      </c>
      <c r="E694" s="7" t="s">
        <v>41</v>
      </c>
      <c r="F694" s="6">
        <v>4345.0</v>
      </c>
      <c r="G694" s="6">
        <v>152504.63</v>
      </c>
      <c r="H694" s="6">
        <v>35.1</v>
      </c>
      <c r="I694" s="8">
        <v>38.573222094361334</v>
      </c>
      <c r="J694" s="6">
        <v>167600.65</v>
      </c>
      <c r="K694" s="6">
        <v>-15096.02</v>
      </c>
      <c r="L694" s="6">
        <v>-9.9</v>
      </c>
      <c r="M694" s="6">
        <f t="shared" si="1"/>
        <v>-3.474342923</v>
      </c>
      <c r="N694" s="6">
        <v>-9.9</v>
      </c>
      <c r="O694" s="7" t="s">
        <v>45</v>
      </c>
      <c r="P694" s="7" t="s">
        <v>46</v>
      </c>
      <c r="Q694" s="7" t="s">
        <v>25</v>
      </c>
      <c r="R694" s="10">
        <v>-29201.95</v>
      </c>
      <c r="S694" s="10">
        <v>14105.93</v>
      </c>
      <c r="T694" s="9" t="s">
        <v>33</v>
      </c>
      <c r="U694" s="9"/>
      <c r="V694" s="9"/>
      <c r="W694" s="9"/>
      <c r="X694" s="9"/>
      <c r="Y694" s="9"/>
      <c r="Z694" s="9"/>
      <c r="AA694" s="9"/>
      <c r="AB694" s="9"/>
    </row>
    <row r="695">
      <c r="A695" s="5">
        <v>42331.0</v>
      </c>
      <c r="B695" s="6">
        <v>2015.0</v>
      </c>
      <c r="C695" s="7" t="s">
        <v>80</v>
      </c>
      <c r="D695" s="7" t="s">
        <v>61</v>
      </c>
      <c r="E695" s="7" t="s">
        <v>22</v>
      </c>
      <c r="F695" s="6">
        <v>1937.0</v>
      </c>
      <c r="G695" s="6">
        <v>79711.58</v>
      </c>
      <c r="H695" s="6">
        <v>41.15</v>
      </c>
      <c r="I695" s="8">
        <v>38.39741352607124</v>
      </c>
      <c r="J695" s="6">
        <v>74375.79</v>
      </c>
      <c r="K695" s="6">
        <v>5335.79</v>
      </c>
      <c r="L695" s="6">
        <v>6.69</v>
      </c>
      <c r="M695" s="6">
        <f t="shared" si="1"/>
        <v>2.754667011</v>
      </c>
      <c r="N695" s="6">
        <v>6.69</v>
      </c>
      <c r="O695" s="7" t="s">
        <v>45</v>
      </c>
      <c r="P695" s="7" t="s">
        <v>46</v>
      </c>
      <c r="Q695" s="7" t="s">
        <v>25</v>
      </c>
      <c r="R695" s="10">
        <v>-15096.02</v>
      </c>
      <c r="S695" s="10">
        <v>20431.81</v>
      </c>
      <c r="T695" s="9" t="s">
        <v>33</v>
      </c>
      <c r="U695" s="9"/>
      <c r="V695" s="9"/>
      <c r="W695" s="9"/>
      <c r="X695" s="9"/>
      <c r="Y695" s="9"/>
      <c r="Z695" s="9"/>
      <c r="AA695" s="9"/>
      <c r="AB695" s="9"/>
    </row>
    <row r="696">
      <c r="A696" s="5">
        <v>42332.0</v>
      </c>
      <c r="B696" s="6">
        <v>2015.0</v>
      </c>
      <c r="C696" s="7" t="s">
        <v>80</v>
      </c>
      <c r="D696" s="7" t="s">
        <v>62</v>
      </c>
      <c r="E696" s="7" t="s">
        <v>28</v>
      </c>
      <c r="F696" s="6">
        <v>3160.0</v>
      </c>
      <c r="G696" s="6">
        <v>111021.38</v>
      </c>
      <c r="H696" s="6">
        <v>35.13</v>
      </c>
      <c r="I696" s="8">
        <v>38.43560759493671</v>
      </c>
      <c r="J696" s="6">
        <v>121456.52</v>
      </c>
      <c r="K696" s="6">
        <v>-10435.14</v>
      </c>
      <c r="L696" s="6">
        <v>-9.4</v>
      </c>
      <c r="M696" s="6">
        <f t="shared" si="1"/>
        <v>-3.302259494</v>
      </c>
      <c r="N696" s="6">
        <v>-9.4</v>
      </c>
      <c r="O696" s="7" t="s">
        <v>45</v>
      </c>
      <c r="P696" s="7" t="s">
        <v>46</v>
      </c>
      <c r="Q696" s="7" t="s">
        <v>25</v>
      </c>
      <c r="R696" s="10">
        <v>5335.79</v>
      </c>
      <c r="S696" s="10">
        <v>-15770.94</v>
      </c>
      <c r="T696" s="9" t="s">
        <v>29</v>
      </c>
      <c r="U696" s="9"/>
      <c r="V696" s="9"/>
      <c r="W696" s="9"/>
      <c r="X696" s="9"/>
      <c r="Y696" s="9"/>
      <c r="Z696" s="9"/>
      <c r="AA696" s="9"/>
      <c r="AB696" s="9"/>
    </row>
    <row r="697">
      <c r="A697" s="5">
        <v>42333.0</v>
      </c>
      <c r="B697" s="6">
        <v>2015.0</v>
      </c>
      <c r="C697" s="7" t="s">
        <v>80</v>
      </c>
      <c r="D697" s="7" t="s">
        <v>63</v>
      </c>
      <c r="E697" s="7" t="s">
        <v>32</v>
      </c>
      <c r="F697" s="6">
        <v>6924.0</v>
      </c>
      <c r="G697" s="6">
        <v>243161.26</v>
      </c>
      <c r="H697" s="6">
        <v>35.12</v>
      </c>
      <c r="I697" s="8">
        <v>38.42495233968804</v>
      </c>
      <c r="J697" s="6">
        <v>266054.37</v>
      </c>
      <c r="K697" s="6">
        <v>-22893.11</v>
      </c>
      <c r="L697" s="6">
        <v>-9.41</v>
      </c>
      <c r="M697" s="6">
        <f t="shared" si="1"/>
        <v>-3.30634171</v>
      </c>
      <c r="N697" s="6">
        <v>-9.41</v>
      </c>
      <c r="O697" s="7" t="s">
        <v>45</v>
      </c>
      <c r="P697" s="7" t="s">
        <v>46</v>
      </c>
      <c r="Q697" s="7" t="s">
        <v>25</v>
      </c>
      <c r="R697" s="10">
        <v>-10435.14</v>
      </c>
      <c r="S697" s="10">
        <v>-12457.97</v>
      </c>
      <c r="T697" s="9" t="s">
        <v>29</v>
      </c>
      <c r="U697" s="9"/>
      <c r="V697" s="9"/>
      <c r="W697" s="9"/>
      <c r="X697" s="9"/>
      <c r="Y697" s="9"/>
      <c r="Z697" s="9"/>
      <c r="AA697" s="9"/>
      <c r="AB697" s="9"/>
    </row>
    <row r="698">
      <c r="A698" s="5">
        <v>42334.0</v>
      </c>
      <c r="B698" s="6">
        <v>2015.0</v>
      </c>
      <c r="C698" s="7" t="s">
        <v>80</v>
      </c>
      <c r="D698" s="7" t="s">
        <v>64</v>
      </c>
      <c r="E698" s="7" t="s">
        <v>35</v>
      </c>
      <c r="F698" s="6">
        <v>9273.0</v>
      </c>
      <c r="G698" s="6">
        <v>311443.18</v>
      </c>
      <c r="H698" s="6">
        <v>33.59</v>
      </c>
      <c r="I698" s="8">
        <v>38.320270678313385</v>
      </c>
      <c r="J698" s="6">
        <v>355343.87</v>
      </c>
      <c r="K698" s="6">
        <v>-43900.69</v>
      </c>
      <c r="L698" s="6">
        <v>-14.1</v>
      </c>
      <c r="M698" s="6">
        <f t="shared" si="1"/>
        <v>-4.734248895</v>
      </c>
      <c r="N698" s="6">
        <v>-14.1</v>
      </c>
      <c r="O698" s="7" t="s">
        <v>45</v>
      </c>
      <c r="P698" s="7" t="s">
        <v>46</v>
      </c>
      <c r="Q698" s="7" t="s">
        <v>25</v>
      </c>
      <c r="R698" s="10">
        <v>-22893.11</v>
      </c>
      <c r="S698" s="10">
        <v>-21007.58</v>
      </c>
      <c r="T698" s="9" t="s">
        <v>29</v>
      </c>
      <c r="U698" s="9"/>
      <c r="V698" s="9"/>
      <c r="W698" s="9"/>
      <c r="X698" s="9"/>
      <c r="Y698" s="9"/>
      <c r="Z698" s="9"/>
      <c r="AA698" s="9"/>
      <c r="AB698" s="9"/>
    </row>
    <row r="699">
      <c r="A699" s="5">
        <v>42335.0</v>
      </c>
      <c r="B699" s="6">
        <v>2015.0</v>
      </c>
      <c r="C699" s="7" t="s">
        <v>80</v>
      </c>
      <c r="D699" s="7" t="s">
        <v>65</v>
      </c>
      <c r="E699" s="7" t="s">
        <v>37</v>
      </c>
      <c r="F699" s="6">
        <v>11257.0</v>
      </c>
      <c r="G699" s="6">
        <v>375876.01</v>
      </c>
      <c r="H699" s="6">
        <v>33.39</v>
      </c>
      <c r="I699" s="8">
        <v>38.31622012969708</v>
      </c>
      <c r="J699" s="6">
        <v>431325.69</v>
      </c>
      <c r="K699" s="6">
        <v>-55449.67</v>
      </c>
      <c r="L699" s="6">
        <v>-14.75</v>
      </c>
      <c r="M699" s="6">
        <f t="shared" si="1"/>
        <v>-4.925794617</v>
      </c>
      <c r="N699" s="6">
        <v>-14.75</v>
      </c>
      <c r="O699" s="7" t="s">
        <v>45</v>
      </c>
      <c r="P699" s="7" t="s">
        <v>46</v>
      </c>
      <c r="Q699" s="7" t="s">
        <v>25</v>
      </c>
      <c r="R699" s="10">
        <v>-43900.69</v>
      </c>
      <c r="S699" s="10">
        <v>-11548.98</v>
      </c>
      <c r="T699" s="9" t="s">
        <v>29</v>
      </c>
      <c r="U699" s="9"/>
      <c r="V699" s="9"/>
      <c r="W699" s="9"/>
      <c r="X699" s="9"/>
      <c r="Y699" s="9"/>
      <c r="Z699" s="9"/>
      <c r="AA699" s="9"/>
      <c r="AB699" s="9"/>
    </row>
    <row r="700">
      <c r="A700" s="5">
        <v>42336.0</v>
      </c>
      <c r="B700" s="6">
        <v>2015.0</v>
      </c>
      <c r="C700" s="7" t="s">
        <v>80</v>
      </c>
      <c r="D700" s="7" t="s">
        <v>66</v>
      </c>
      <c r="E700" s="7" t="s">
        <v>39</v>
      </c>
      <c r="F700" s="6">
        <v>13019.0</v>
      </c>
      <c r="G700" s="6">
        <v>434639.66</v>
      </c>
      <c r="H700" s="6">
        <v>33.39</v>
      </c>
      <c r="I700" s="8">
        <v>38.32057915354482</v>
      </c>
      <c r="J700" s="6">
        <v>498895.62</v>
      </c>
      <c r="K700" s="6">
        <v>-64255.96</v>
      </c>
      <c r="L700" s="6">
        <v>-14.78</v>
      </c>
      <c r="M700" s="6">
        <f t="shared" si="1"/>
        <v>-4.935552654</v>
      </c>
      <c r="N700" s="6">
        <v>-14.78</v>
      </c>
      <c r="O700" s="7" t="s">
        <v>45</v>
      </c>
      <c r="P700" s="7" t="s">
        <v>46</v>
      </c>
      <c r="Q700" s="7" t="s">
        <v>25</v>
      </c>
      <c r="R700" s="10">
        <v>-55449.67</v>
      </c>
      <c r="S700" s="10">
        <v>-8806.29</v>
      </c>
      <c r="T700" s="9" t="s">
        <v>29</v>
      </c>
      <c r="U700" s="9"/>
      <c r="V700" s="9"/>
      <c r="W700" s="9"/>
      <c r="X700" s="9"/>
      <c r="Y700" s="9"/>
      <c r="Z700" s="9"/>
      <c r="AA700" s="9"/>
      <c r="AB700" s="9"/>
    </row>
    <row r="701">
      <c r="A701" s="5">
        <v>42337.0</v>
      </c>
      <c r="B701" s="6">
        <v>2015.0</v>
      </c>
      <c r="C701" s="7" t="s">
        <v>80</v>
      </c>
      <c r="D701" s="7" t="s">
        <v>67</v>
      </c>
      <c r="E701" s="7" t="s">
        <v>41</v>
      </c>
      <c r="F701" s="6">
        <v>7139.0</v>
      </c>
      <c r="G701" s="6">
        <v>238637.82</v>
      </c>
      <c r="H701" s="6">
        <v>33.43</v>
      </c>
      <c r="I701" s="8">
        <v>38.39383387028996</v>
      </c>
      <c r="J701" s="6">
        <v>274093.58</v>
      </c>
      <c r="K701" s="6">
        <v>-35455.76</v>
      </c>
      <c r="L701" s="6">
        <v>-14.86</v>
      </c>
      <c r="M701" s="6">
        <f t="shared" si="1"/>
        <v>-4.966488304</v>
      </c>
      <c r="N701" s="6">
        <v>-14.86</v>
      </c>
      <c r="O701" s="7" t="s">
        <v>45</v>
      </c>
      <c r="P701" s="7" t="s">
        <v>46</v>
      </c>
      <c r="Q701" s="7" t="s">
        <v>25</v>
      </c>
      <c r="R701" s="10">
        <v>-64255.96</v>
      </c>
      <c r="S701" s="10">
        <v>28800.2</v>
      </c>
      <c r="T701" s="9" t="s">
        <v>33</v>
      </c>
      <c r="U701" s="9"/>
      <c r="V701" s="9"/>
      <c r="W701" s="9"/>
      <c r="X701" s="9"/>
      <c r="Y701" s="9"/>
      <c r="Z701" s="9"/>
      <c r="AA701" s="9"/>
      <c r="AB701" s="9"/>
    </row>
    <row r="702">
      <c r="A702" s="5">
        <v>42338.0</v>
      </c>
      <c r="B702" s="6">
        <v>2015.0</v>
      </c>
      <c r="C702" s="7" t="s">
        <v>80</v>
      </c>
      <c r="D702" s="7" t="s">
        <v>21</v>
      </c>
      <c r="E702" s="7" t="s">
        <v>22</v>
      </c>
      <c r="F702" s="6">
        <v>7423.0</v>
      </c>
      <c r="G702" s="6">
        <v>260653.67</v>
      </c>
      <c r="H702" s="6">
        <v>35.11</v>
      </c>
      <c r="I702" s="8">
        <v>38.2569244240873</v>
      </c>
      <c r="J702" s="6">
        <v>283981.15</v>
      </c>
      <c r="K702" s="6">
        <v>-23327.48</v>
      </c>
      <c r="L702" s="6">
        <v>-8.95</v>
      </c>
      <c r="M702" s="6">
        <f t="shared" si="1"/>
        <v>-3.142594638</v>
      </c>
      <c r="N702" s="6">
        <v>-8.95</v>
      </c>
      <c r="O702" s="7" t="s">
        <v>45</v>
      </c>
      <c r="P702" s="7" t="s">
        <v>46</v>
      </c>
      <c r="Q702" s="7" t="s">
        <v>25</v>
      </c>
      <c r="R702" s="10">
        <v>-35455.76</v>
      </c>
      <c r="S702" s="10">
        <v>12128.28</v>
      </c>
      <c r="T702" s="9" t="s">
        <v>33</v>
      </c>
      <c r="U702" s="9"/>
      <c r="V702" s="9"/>
      <c r="W702" s="9"/>
      <c r="X702" s="9"/>
      <c r="Y702" s="9"/>
      <c r="Z702" s="9"/>
      <c r="AA702" s="9"/>
      <c r="AB702" s="9"/>
    </row>
    <row r="703">
      <c r="A703" s="5">
        <v>42339.0</v>
      </c>
      <c r="B703" s="6">
        <v>2015.0</v>
      </c>
      <c r="C703" s="7" t="s">
        <v>20</v>
      </c>
      <c r="D703" s="7" t="s">
        <v>31</v>
      </c>
      <c r="E703" s="7" t="s">
        <v>28</v>
      </c>
      <c r="F703" s="6">
        <v>7474.0</v>
      </c>
      <c r="G703" s="6">
        <v>262394.78</v>
      </c>
      <c r="H703" s="6">
        <v>35.11</v>
      </c>
      <c r="I703" s="8">
        <v>38.2443885469628</v>
      </c>
      <c r="J703" s="6">
        <v>285838.56</v>
      </c>
      <c r="K703" s="6">
        <v>-23443.78</v>
      </c>
      <c r="L703" s="6">
        <v>-8.93</v>
      </c>
      <c r="M703" s="6">
        <f t="shared" si="1"/>
        <v>-3.136711266</v>
      </c>
      <c r="N703" s="6">
        <v>-8.93</v>
      </c>
      <c r="O703" s="7" t="s">
        <v>45</v>
      </c>
      <c r="P703" s="7" t="s">
        <v>46</v>
      </c>
      <c r="Q703" s="7" t="s">
        <v>25</v>
      </c>
      <c r="R703" s="10">
        <v>-23327.48</v>
      </c>
      <c r="S703" s="10">
        <v>-116.29</v>
      </c>
      <c r="T703" s="9" t="s">
        <v>29</v>
      </c>
      <c r="U703" s="9"/>
      <c r="V703" s="9"/>
      <c r="W703" s="9"/>
      <c r="X703" s="9"/>
      <c r="Y703" s="9"/>
      <c r="Z703" s="9"/>
      <c r="AA703" s="9"/>
      <c r="AB703" s="9"/>
    </row>
    <row r="704">
      <c r="A704" s="5">
        <v>42340.0</v>
      </c>
      <c r="B704" s="6">
        <v>2015.0</v>
      </c>
      <c r="C704" s="7" t="s">
        <v>20</v>
      </c>
      <c r="D704" s="7" t="s">
        <v>34</v>
      </c>
      <c r="E704" s="7" t="s">
        <v>32</v>
      </c>
      <c r="F704" s="6">
        <v>7056.0</v>
      </c>
      <c r="G704" s="6">
        <v>248437.71</v>
      </c>
      <c r="H704" s="6">
        <v>35.21</v>
      </c>
      <c r="I704" s="8">
        <v>38.23804138321995</v>
      </c>
      <c r="J704" s="6">
        <v>269807.62</v>
      </c>
      <c r="K704" s="6">
        <v>-21369.91</v>
      </c>
      <c r="L704" s="6">
        <v>-8.6</v>
      </c>
      <c r="M704" s="6">
        <f t="shared" si="1"/>
        <v>-3.028615363</v>
      </c>
      <c r="N704" s="6">
        <v>-8.6</v>
      </c>
      <c r="O704" s="7" t="s">
        <v>45</v>
      </c>
      <c r="P704" s="7" t="s">
        <v>46</v>
      </c>
      <c r="Q704" s="7" t="s">
        <v>25</v>
      </c>
      <c r="R704" s="10">
        <v>-23443.78</v>
      </c>
      <c r="S704" s="10">
        <v>2073.87</v>
      </c>
      <c r="T704" s="9" t="s">
        <v>33</v>
      </c>
      <c r="U704" s="9"/>
      <c r="V704" s="9"/>
      <c r="W704" s="9"/>
      <c r="X704" s="9"/>
      <c r="Y704" s="9"/>
      <c r="Z704" s="9"/>
      <c r="AA704" s="9"/>
      <c r="AB704" s="9"/>
    </row>
    <row r="705">
      <c r="A705" s="5">
        <v>42341.0</v>
      </c>
      <c r="B705" s="6">
        <v>2015.0</v>
      </c>
      <c r="C705" s="7" t="s">
        <v>20</v>
      </c>
      <c r="D705" s="7" t="s">
        <v>36</v>
      </c>
      <c r="E705" s="7" t="s">
        <v>35</v>
      </c>
      <c r="F705" s="6">
        <v>5732.0</v>
      </c>
      <c r="G705" s="6">
        <v>201048.83</v>
      </c>
      <c r="H705" s="6">
        <v>35.07</v>
      </c>
      <c r="I705" s="8">
        <v>38.225818213538034</v>
      </c>
      <c r="J705" s="6">
        <v>219110.39</v>
      </c>
      <c r="K705" s="6">
        <v>-18061.56</v>
      </c>
      <c r="L705" s="6">
        <v>-8.98</v>
      </c>
      <c r="M705" s="6">
        <f t="shared" si="1"/>
        <v>-3.151004885</v>
      </c>
      <c r="N705" s="6">
        <v>-8.98</v>
      </c>
      <c r="O705" s="7" t="s">
        <v>45</v>
      </c>
      <c r="P705" s="7" t="s">
        <v>46</v>
      </c>
      <c r="Q705" s="7" t="s">
        <v>25</v>
      </c>
      <c r="R705" s="10">
        <v>-21369.91</v>
      </c>
      <c r="S705" s="10">
        <v>3308.35</v>
      </c>
      <c r="T705" s="9" t="s">
        <v>33</v>
      </c>
      <c r="U705" s="9"/>
      <c r="V705" s="9"/>
      <c r="W705" s="9"/>
      <c r="X705" s="9"/>
      <c r="Y705" s="9"/>
      <c r="Z705" s="9"/>
      <c r="AA705" s="9"/>
      <c r="AB705" s="9"/>
    </row>
    <row r="706">
      <c r="A706" s="5">
        <v>42342.0</v>
      </c>
      <c r="B706" s="6">
        <v>2015.0</v>
      </c>
      <c r="C706" s="7" t="s">
        <v>20</v>
      </c>
      <c r="D706" s="7" t="s">
        <v>38</v>
      </c>
      <c r="E706" s="7" t="s">
        <v>37</v>
      </c>
      <c r="F706" s="6">
        <v>9038.0</v>
      </c>
      <c r="G706" s="6">
        <v>317690.76</v>
      </c>
      <c r="H706" s="6">
        <v>35.15</v>
      </c>
      <c r="I706" s="8">
        <v>38.22189975658332</v>
      </c>
      <c r="J706" s="6">
        <v>345449.53</v>
      </c>
      <c r="K706" s="6">
        <v>-27758.77</v>
      </c>
      <c r="L706" s="6">
        <v>-8.74</v>
      </c>
      <c r="M706" s="6">
        <f t="shared" si="1"/>
        <v>-3.071339898</v>
      </c>
      <c r="N706" s="6">
        <v>-8.74</v>
      </c>
      <c r="O706" s="7" t="s">
        <v>45</v>
      </c>
      <c r="P706" s="7" t="s">
        <v>46</v>
      </c>
      <c r="Q706" s="7" t="s">
        <v>25</v>
      </c>
      <c r="R706" s="10">
        <v>-18061.56</v>
      </c>
      <c r="S706" s="10">
        <v>-9697.21</v>
      </c>
      <c r="T706" s="9" t="s">
        <v>29</v>
      </c>
      <c r="U706" s="9"/>
      <c r="V706" s="9"/>
      <c r="W706" s="9"/>
      <c r="X706" s="9"/>
      <c r="Y706" s="9"/>
      <c r="Z706" s="9"/>
      <c r="AA706" s="9"/>
      <c r="AB706" s="9"/>
    </row>
    <row r="707">
      <c r="A707" s="5">
        <v>42343.0</v>
      </c>
      <c r="B707" s="6">
        <v>2015.0</v>
      </c>
      <c r="C707" s="7" t="s">
        <v>20</v>
      </c>
      <c r="D707" s="7" t="s">
        <v>40</v>
      </c>
      <c r="E707" s="7" t="s">
        <v>39</v>
      </c>
      <c r="F707" s="6">
        <v>10737.0</v>
      </c>
      <c r="G707" s="6">
        <v>378527.87</v>
      </c>
      <c r="H707" s="6">
        <v>35.25</v>
      </c>
      <c r="I707" s="8">
        <v>38.22157399646083</v>
      </c>
      <c r="J707" s="6">
        <v>410385.04</v>
      </c>
      <c r="K707" s="6">
        <v>-31857.16</v>
      </c>
      <c r="L707" s="6">
        <v>-8.42</v>
      </c>
      <c r="M707" s="6">
        <f t="shared" si="1"/>
        <v>-2.967044798</v>
      </c>
      <c r="N707" s="6">
        <v>-8.42</v>
      </c>
      <c r="O707" s="7" t="s">
        <v>45</v>
      </c>
      <c r="P707" s="7" t="s">
        <v>46</v>
      </c>
      <c r="Q707" s="7" t="s">
        <v>25</v>
      </c>
      <c r="R707" s="10">
        <v>-27758.77</v>
      </c>
      <c r="S707" s="10">
        <v>-4098.4</v>
      </c>
      <c r="T707" s="9" t="s">
        <v>29</v>
      </c>
      <c r="U707" s="9"/>
      <c r="V707" s="9"/>
      <c r="W707" s="9"/>
      <c r="X707" s="9"/>
      <c r="Y707" s="9"/>
      <c r="Z707" s="9"/>
      <c r="AA707" s="9"/>
      <c r="AB707" s="9"/>
    </row>
    <row r="708">
      <c r="A708" s="5">
        <v>42344.0</v>
      </c>
      <c r="B708" s="6">
        <v>2015.0</v>
      </c>
      <c r="C708" s="7" t="s">
        <v>20</v>
      </c>
      <c r="D708" s="7" t="s">
        <v>42</v>
      </c>
      <c r="E708" s="7" t="s">
        <v>41</v>
      </c>
      <c r="F708" s="6">
        <v>5505.0</v>
      </c>
      <c r="G708" s="6">
        <v>195425.39</v>
      </c>
      <c r="H708" s="6">
        <v>35.5</v>
      </c>
      <c r="I708" s="8">
        <v>38.23095186194369</v>
      </c>
      <c r="J708" s="6">
        <v>210461.39</v>
      </c>
      <c r="K708" s="6">
        <v>-15036.0</v>
      </c>
      <c r="L708" s="6">
        <v>-7.69</v>
      </c>
      <c r="M708" s="6">
        <f t="shared" si="1"/>
        <v>-2.73133515</v>
      </c>
      <c r="N708" s="6">
        <v>-7.69</v>
      </c>
      <c r="O708" s="7" t="s">
        <v>45</v>
      </c>
      <c r="P708" s="7" t="s">
        <v>46</v>
      </c>
      <c r="Q708" s="7" t="s">
        <v>25</v>
      </c>
      <c r="R708" s="10">
        <v>-31857.16</v>
      </c>
      <c r="S708" s="10">
        <v>16821.17</v>
      </c>
      <c r="T708" s="9" t="s">
        <v>33</v>
      </c>
      <c r="U708" s="9"/>
      <c r="V708" s="9"/>
      <c r="W708" s="9"/>
      <c r="X708" s="9"/>
      <c r="Y708" s="9"/>
      <c r="Z708" s="9"/>
      <c r="AA708" s="9"/>
      <c r="AB708" s="9"/>
    </row>
    <row r="709">
      <c r="A709" s="5">
        <v>42345.0</v>
      </c>
      <c r="B709" s="6">
        <v>2015.0</v>
      </c>
      <c r="C709" s="7" t="s">
        <v>20</v>
      </c>
      <c r="D709" s="7" t="s">
        <v>43</v>
      </c>
      <c r="E709" s="7" t="s">
        <v>22</v>
      </c>
      <c r="F709" s="6">
        <v>2198.0</v>
      </c>
      <c r="G709" s="6">
        <v>90441.6</v>
      </c>
      <c r="H709" s="6">
        <v>41.15</v>
      </c>
      <c r="I709" s="8">
        <v>38.216373976342126</v>
      </c>
      <c r="J709" s="6">
        <v>83999.59</v>
      </c>
      <c r="K709" s="6">
        <v>6442.01</v>
      </c>
      <c r="L709" s="6">
        <v>7.12</v>
      </c>
      <c r="M709" s="6">
        <f t="shared" si="1"/>
        <v>2.930850773</v>
      </c>
      <c r="N709" s="6">
        <v>7.12</v>
      </c>
      <c r="O709" s="7" t="s">
        <v>45</v>
      </c>
      <c r="P709" s="7" t="s">
        <v>46</v>
      </c>
      <c r="Q709" s="7" t="s">
        <v>25</v>
      </c>
      <c r="R709" s="10">
        <v>-15036.0</v>
      </c>
      <c r="S709" s="10">
        <v>21478.01</v>
      </c>
      <c r="T709" s="9" t="s">
        <v>33</v>
      </c>
      <c r="U709" s="9"/>
      <c r="V709" s="9"/>
      <c r="W709" s="9"/>
      <c r="X709" s="9"/>
      <c r="Y709" s="9"/>
      <c r="Z709" s="9"/>
      <c r="AA709" s="9"/>
      <c r="AB709" s="9"/>
    </row>
    <row r="710">
      <c r="A710" s="5">
        <v>42346.0</v>
      </c>
      <c r="B710" s="6">
        <v>2015.0</v>
      </c>
      <c r="C710" s="7" t="s">
        <v>20</v>
      </c>
      <c r="D710" s="7" t="s">
        <v>44</v>
      </c>
      <c r="E710" s="7" t="s">
        <v>28</v>
      </c>
      <c r="F710" s="6">
        <v>3190.0</v>
      </c>
      <c r="G710" s="6">
        <v>117649.0</v>
      </c>
      <c r="H710" s="6">
        <v>36.88</v>
      </c>
      <c r="I710" s="8">
        <v>38.13178056426332</v>
      </c>
      <c r="J710" s="6">
        <v>121640.38</v>
      </c>
      <c r="K710" s="6">
        <v>-3991.38</v>
      </c>
      <c r="L710" s="6">
        <v>-3.39</v>
      </c>
      <c r="M710" s="6">
        <f t="shared" si="1"/>
        <v>-1.251216301</v>
      </c>
      <c r="N710" s="6">
        <v>-3.39</v>
      </c>
      <c r="O710" s="7" t="s">
        <v>45</v>
      </c>
      <c r="P710" s="7" t="s">
        <v>46</v>
      </c>
      <c r="Q710" s="7" t="s">
        <v>25</v>
      </c>
      <c r="R710" s="10">
        <v>6442.01</v>
      </c>
      <c r="S710" s="10">
        <v>-10433.39</v>
      </c>
      <c r="T710" s="9" t="s">
        <v>29</v>
      </c>
      <c r="U710" s="9"/>
      <c r="V710" s="9"/>
      <c r="W710" s="9"/>
      <c r="X710" s="9"/>
      <c r="Y710" s="9"/>
      <c r="Z710" s="9"/>
      <c r="AA710" s="9"/>
      <c r="AB710" s="9"/>
    </row>
    <row r="711">
      <c r="A711" s="5">
        <v>42347.0</v>
      </c>
      <c r="B711" s="6">
        <v>2015.0</v>
      </c>
      <c r="C711" s="7" t="s">
        <v>20</v>
      </c>
      <c r="D711" s="7" t="s">
        <v>47</v>
      </c>
      <c r="E711" s="7" t="s">
        <v>32</v>
      </c>
      <c r="F711" s="6">
        <v>3814.0</v>
      </c>
      <c r="G711" s="6">
        <v>141285.4</v>
      </c>
      <c r="H711" s="6">
        <v>37.04</v>
      </c>
      <c r="I711" s="8">
        <v>38.13399318300996</v>
      </c>
      <c r="J711" s="6">
        <v>145443.05</v>
      </c>
      <c r="K711" s="6">
        <v>-4157.65</v>
      </c>
      <c r="L711" s="6">
        <v>-2.94</v>
      </c>
      <c r="M711" s="6">
        <f t="shared" si="1"/>
        <v>-1.090102255</v>
      </c>
      <c r="N711" s="6">
        <v>-2.94</v>
      </c>
      <c r="O711" s="7" t="s">
        <v>45</v>
      </c>
      <c r="P711" s="7" t="s">
        <v>46</v>
      </c>
      <c r="Q711" s="7" t="s">
        <v>25</v>
      </c>
      <c r="R711" s="10">
        <v>-3991.38</v>
      </c>
      <c r="S711" s="10">
        <v>-166.27</v>
      </c>
      <c r="T711" s="9" t="s">
        <v>29</v>
      </c>
      <c r="U711" s="9"/>
      <c r="V711" s="9"/>
      <c r="W711" s="9"/>
      <c r="X711" s="9"/>
      <c r="Y711" s="9"/>
      <c r="Z711" s="9"/>
      <c r="AA711" s="9"/>
      <c r="AB711" s="9"/>
    </row>
    <row r="712">
      <c r="A712" s="5">
        <v>42348.0</v>
      </c>
      <c r="B712" s="6">
        <v>2015.0</v>
      </c>
      <c r="C712" s="7" t="s">
        <v>20</v>
      </c>
      <c r="D712" s="7" t="s">
        <v>48</v>
      </c>
      <c r="E712" s="7" t="s">
        <v>35</v>
      </c>
      <c r="F712" s="6">
        <v>3610.0</v>
      </c>
      <c r="G712" s="6">
        <v>133183.69</v>
      </c>
      <c r="H712" s="6">
        <v>36.89</v>
      </c>
      <c r="I712" s="8">
        <v>38.15121329639889</v>
      </c>
      <c r="J712" s="6">
        <v>137725.88</v>
      </c>
      <c r="K712" s="6">
        <v>-4542.18</v>
      </c>
      <c r="L712" s="6">
        <v>-3.41</v>
      </c>
      <c r="M712" s="6">
        <f t="shared" si="1"/>
        <v>-1.258221607</v>
      </c>
      <c r="N712" s="6">
        <v>-3.41</v>
      </c>
      <c r="O712" s="7" t="s">
        <v>45</v>
      </c>
      <c r="P712" s="7" t="s">
        <v>46</v>
      </c>
      <c r="Q712" s="7" t="s">
        <v>25</v>
      </c>
      <c r="R712" s="10">
        <v>-4157.65</v>
      </c>
      <c r="S712" s="10">
        <v>-384.53</v>
      </c>
      <c r="T712" s="9" t="s">
        <v>29</v>
      </c>
      <c r="U712" s="9"/>
      <c r="V712" s="9"/>
      <c r="W712" s="9"/>
      <c r="X712" s="9"/>
      <c r="Y712" s="9"/>
      <c r="Z712" s="9"/>
      <c r="AA712" s="9"/>
      <c r="AB712" s="9"/>
    </row>
    <row r="713">
      <c r="A713" s="5">
        <v>42349.0</v>
      </c>
      <c r="B713" s="6">
        <v>2015.0</v>
      </c>
      <c r="C713" s="7" t="s">
        <v>20</v>
      </c>
      <c r="D713" s="7" t="s">
        <v>49</v>
      </c>
      <c r="E713" s="7" t="s">
        <v>37</v>
      </c>
      <c r="F713" s="6">
        <v>6227.0</v>
      </c>
      <c r="G713" s="6">
        <v>229672.26</v>
      </c>
      <c r="H713" s="6">
        <v>36.88</v>
      </c>
      <c r="I713" s="8">
        <v>38.16798137144692</v>
      </c>
      <c r="J713" s="6">
        <v>237672.02</v>
      </c>
      <c r="K713" s="6">
        <v>-7999.76</v>
      </c>
      <c r="L713" s="6">
        <v>-3.48</v>
      </c>
      <c r="M713" s="6">
        <f t="shared" si="1"/>
        <v>-1.284689256</v>
      </c>
      <c r="N713" s="6">
        <v>-3.48</v>
      </c>
      <c r="O713" s="7" t="s">
        <v>45</v>
      </c>
      <c r="P713" s="7" t="s">
        <v>46</v>
      </c>
      <c r="Q713" s="7" t="s">
        <v>25</v>
      </c>
      <c r="R713" s="10">
        <v>-4542.18</v>
      </c>
      <c r="S713" s="10">
        <v>-3457.58</v>
      </c>
      <c r="T713" s="9" t="s">
        <v>29</v>
      </c>
      <c r="U713" s="9"/>
      <c r="V713" s="9"/>
      <c r="W713" s="9"/>
      <c r="X713" s="9"/>
      <c r="Y713" s="9"/>
      <c r="Z713" s="9"/>
      <c r="AA713" s="9"/>
      <c r="AB713" s="9"/>
    </row>
    <row r="714">
      <c r="A714" s="5">
        <v>42350.0</v>
      </c>
      <c r="B714" s="6">
        <v>2015.0</v>
      </c>
      <c r="C714" s="7" t="s">
        <v>20</v>
      </c>
      <c r="D714" s="7" t="s">
        <v>50</v>
      </c>
      <c r="E714" s="7" t="s">
        <v>39</v>
      </c>
      <c r="F714" s="6">
        <v>9422.0</v>
      </c>
      <c r="G714" s="6">
        <v>333488.8</v>
      </c>
      <c r="H714" s="6">
        <v>35.39</v>
      </c>
      <c r="I714" s="8">
        <v>38.168230736573975</v>
      </c>
      <c r="J714" s="6">
        <v>359621.07</v>
      </c>
      <c r="K714" s="6">
        <v>-26132.28</v>
      </c>
      <c r="L714" s="6">
        <v>-7.84</v>
      </c>
      <c r="M714" s="6">
        <f t="shared" si="1"/>
        <v>-2.773538527</v>
      </c>
      <c r="N714" s="6">
        <v>-7.84</v>
      </c>
      <c r="O714" s="7" t="s">
        <v>45</v>
      </c>
      <c r="P714" s="7" t="s">
        <v>46</v>
      </c>
      <c r="Q714" s="7" t="s">
        <v>25</v>
      </c>
      <c r="R714" s="10">
        <v>-7999.76</v>
      </c>
      <c r="S714" s="10">
        <v>-18132.52</v>
      </c>
      <c r="T714" s="9" t="s">
        <v>29</v>
      </c>
      <c r="U714" s="9"/>
      <c r="V714" s="9"/>
      <c r="W714" s="9"/>
      <c r="X714" s="9"/>
      <c r="Y714" s="9"/>
      <c r="Z714" s="9"/>
      <c r="AA714" s="9"/>
      <c r="AB714" s="9"/>
    </row>
    <row r="715">
      <c r="A715" s="5">
        <v>42351.0</v>
      </c>
      <c r="B715" s="6">
        <v>2015.0</v>
      </c>
      <c r="C715" s="7" t="s">
        <v>20</v>
      </c>
      <c r="D715" s="7" t="s">
        <v>51</v>
      </c>
      <c r="E715" s="7" t="s">
        <v>41</v>
      </c>
      <c r="F715" s="6">
        <v>5014.0</v>
      </c>
      <c r="G715" s="6">
        <v>185422.89</v>
      </c>
      <c r="H715" s="6">
        <v>36.98</v>
      </c>
      <c r="I715" s="8">
        <v>38.171200638213</v>
      </c>
      <c r="J715" s="6">
        <v>191390.4</v>
      </c>
      <c r="K715" s="6">
        <v>-5967.52</v>
      </c>
      <c r="L715" s="6">
        <v>-3.22</v>
      </c>
      <c r="M715" s="6">
        <f t="shared" si="1"/>
        <v>-1.19017152</v>
      </c>
      <c r="N715" s="6">
        <v>-3.22</v>
      </c>
      <c r="O715" s="7" t="s">
        <v>45</v>
      </c>
      <c r="P715" s="7" t="s">
        <v>46</v>
      </c>
      <c r="Q715" s="7" t="s">
        <v>25</v>
      </c>
      <c r="R715" s="10">
        <v>-26132.28</v>
      </c>
      <c r="S715" s="10">
        <v>20164.76</v>
      </c>
      <c r="T715" s="9" t="s">
        <v>33</v>
      </c>
      <c r="U715" s="9"/>
      <c r="V715" s="9"/>
      <c r="W715" s="9"/>
      <c r="X715" s="9"/>
      <c r="Y715" s="9"/>
      <c r="Z715" s="9"/>
      <c r="AA715" s="9"/>
      <c r="AB715" s="9"/>
    </row>
    <row r="716">
      <c r="A716" s="5">
        <v>42352.0</v>
      </c>
      <c r="B716" s="6">
        <v>2015.0</v>
      </c>
      <c r="C716" s="7" t="s">
        <v>20</v>
      </c>
      <c r="D716" s="7" t="s">
        <v>52</v>
      </c>
      <c r="E716" s="7" t="s">
        <v>22</v>
      </c>
      <c r="F716" s="6">
        <v>4715.0</v>
      </c>
      <c r="G716" s="6">
        <v>173833.13</v>
      </c>
      <c r="H716" s="6">
        <v>36.87</v>
      </c>
      <c r="I716" s="8">
        <v>38.14868504772004</v>
      </c>
      <c r="J716" s="6">
        <v>179871.05</v>
      </c>
      <c r="K716" s="6">
        <v>-6037.92</v>
      </c>
      <c r="L716" s="6">
        <v>-3.47</v>
      </c>
      <c r="M716" s="6">
        <f t="shared" si="1"/>
        <v>-1.280576882</v>
      </c>
      <c r="N716" s="6">
        <v>-3.47</v>
      </c>
      <c r="O716" s="7" t="s">
        <v>45</v>
      </c>
      <c r="P716" s="7" t="s">
        <v>46</v>
      </c>
      <c r="Q716" s="7" t="s">
        <v>25</v>
      </c>
      <c r="R716" s="10">
        <v>-5967.52</v>
      </c>
      <c r="S716" s="10">
        <v>-70.4</v>
      </c>
      <c r="T716" s="9" t="s">
        <v>29</v>
      </c>
      <c r="U716" s="9"/>
      <c r="V716" s="9"/>
      <c r="W716" s="9"/>
      <c r="X716" s="9"/>
      <c r="Y716" s="9"/>
      <c r="Z716" s="9"/>
      <c r="AA716" s="9"/>
      <c r="AB716" s="9"/>
    </row>
    <row r="717">
      <c r="A717" s="5">
        <v>42353.0</v>
      </c>
      <c r="B717" s="6">
        <v>2015.0</v>
      </c>
      <c r="C717" s="7" t="s">
        <v>20</v>
      </c>
      <c r="D717" s="7" t="s">
        <v>53</v>
      </c>
      <c r="E717" s="7" t="s">
        <v>28</v>
      </c>
      <c r="F717" s="6">
        <v>6212.0</v>
      </c>
      <c r="G717" s="6">
        <v>220271.72</v>
      </c>
      <c r="H717" s="6">
        <v>35.46</v>
      </c>
      <c r="I717" s="8">
        <v>38.17181905988409</v>
      </c>
      <c r="J717" s="6">
        <v>237123.34</v>
      </c>
      <c r="K717" s="6">
        <v>-16851.62</v>
      </c>
      <c r="L717" s="6">
        <v>-7.65</v>
      </c>
      <c r="M717" s="6">
        <f t="shared" si="1"/>
        <v>-2.712752737</v>
      </c>
      <c r="N717" s="6">
        <v>-7.65</v>
      </c>
      <c r="O717" s="7" t="s">
        <v>45</v>
      </c>
      <c r="P717" s="7" t="s">
        <v>46</v>
      </c>
      <c r="Q717" s="7" t="s">
        <v>25</v>
      </c>
      <c r="R717" s="10">
        <v>-6037.92</v>
      </c>
      <c r="S717" s="10">
        <v>-10813.7</v>
      </c>
      <c r="T717" s="9" t="s">
        <v>29</v>
      </c>
      <c r="U717" s="9"/>
      <c r="V717" s="9"/>
      <c r="W717" s="9"/>
      <c r="X717" s="9"/>
      <c r="Y717" s="9"/>
      <c r="Z717" s="9"/>
      <c r="AA717" s="9"/>
      <c r="AB717" s="9"/>
    </row>
    <row r="718">
      <c r="A718" s="5">
        <v>42354.0</v>
      </c>
      <c r="B718" s="6">
        <v>2015.0</v>
      </c>
      <c r="C718" s="7" t="s">
        <v>20</v>
      </c>
      <c r="D718" s="7" t="s">
        <v>54</v>
      </c>
      <c r="E718" s="7" t="s">
        <v>32</v>
      </c>
      <c r="F718" s="6">
        <v>6585.0</v>
      </c>
      <c r="G718" s="6">
        <v>234468.07</v>
      </c>
      <c r="H718" s="6">
        <v>35.61</v>
      </c>
      <c r="I718" s="8">
        <v>38.1919377372817</v>
      </c>
      <c r="J718" s="6">
        <v>251493.91</v>
      </c>
      <c r="K718" s="6">
        <v>-17025.84</v>
      </c>
      <c r="L718" s="6">
        <v>-7.26</v>
      </c>
      <c r="M718" s="6">
        <f t="shared" si="1"/>
        <v>-2.585548975</v>
      </c>
      <c r="N718" s="6">
        <v>-7.26</v>
      </c>
      <c r="O718" s="7" t="s">
        <v>45</v>
      </c>
      <c r="P718" s="7" t="s">
        <v>46</v>
      </c>
      <c r="Q718" s="7" t="s">
        <v>25</v>
      </c>
      <c r="R718" s="10">
        <v>-16851.62</v>
      </c>
      <c r="S718" s="10">
        <v>-174.22</v>
      </c>
      <c r="T718" s="9" t="s">
        <v>29</v>
      </c>
      <c r="U718" s="9"/>
      <c r="V718" s="9"/>
      <c r="W718" s="9"/>
      <c r="X718" s="9"/>
      <c r="Y718" s="9"/>
      <c r="Z718" s="9"/>
      <c r="AA718" s="9"/>
      <c r="AB718" s="9"/>
    </row>
    <row r="719">
      <c r="A719" s="5">
        <v>42355.0</v>
      </c>
      <c r="B719" s="6">
        <v>2015.0</v>
      </c>
      <c r="C719" s="7" t="s">
        <v>20</v>
      </c>
      <c r="D719" s="7" t="s">
        <v>55</v>
      </c>
      <c r="E719" s="7" t="s">
        <v>35</v>
      </c>
      <c r="F719" s="6">
        <v>6051.0</v>
      </c>
      <c r="G719" s="6">
        <v>213778.14</v>
      </c>
      <c r="H719" s="6">
        <v>35.33</v>
      </c>
      <c r="I719" s="8">
        <v>38.17457610312345</v>
      </c>
      <c r="J719" s="6">
        <v>230994.36</v>
      </c>
      <c r="K719" s="6">
        <v>-17216.22</v>
      </c>
      <c r="L719" s="6">
        <v>-8.05</v>
      </c>
      <c r="M719" s="6">
        <f t="shared" si="1"/>
        <v>-2.84518592</v>
      </c>
      <c r="N719" s="6">
        <v>-8.05</v>
      </c>
      <c r="O719" s="7" t="s">
        <v>45</v>
      </c>
      <c r="P719" s="7" t="s">
        <v>46</v>
      </c>
      <c r="Q719" s="7" t="s">
        <v>25</v>
      </c>
      <c r="R719" s="10">
        <v>-17025.84</v>
      </c>
      <c r="S719" s="10">
        <v>-190.38</v>
      </c>
      <c r="T719" s="9" t="s">
        <v>29</v>
      </c>
      <c r="U719" s="9"/>
      <c r="V719" s="9"/>
      <c r="W719" s="9"/>
      <c r="X719" s="9"/>
      <c r="Y719" s="9"/>
      <c r="Z719" s="9"/>
      <c r="AA719" s="9"/>
      <c r="AB719" s="9"/>
    </row>
    <row r="720">
      <c r="A720" s="5">
        <v>42356.0</v>
      </c>
      <c r="B720" s="6">
        <v>2015.0</v>
      </c>
      <c r="C720" s="7" t="s">
        <v>20</v>
      </c>
      <c r="D720" s="7" t="s">
        <v>56</v>
      </c>
      <c r="E720" s="7" t="s">
        <v>37</v>
      </c>
      <c r="F720" s="6">
        <v>7750.0</v>
      </c>
      <c r="G720" s="6">
        <v>273563.01</v>
      </c>
      <c r="H720" s="6">
        <v>35.3</v>
      </c>
      <c r="I720" s="8">
        <v>38.17478064516129</v>
      </c>
      <c r="J720" s="6">
        <v>295854.55</v>
      </c>
      <c r="K720" s="6">
        <v>-22291.54</v>
      </c>
      <c r="L720" s="6">
        <v>-8.15</v>
      </c>
      <c r="M720" s="6">
        <f t="shared" si="1"/>
        <v>-2.876327742</v>
      </c>
      <c r="N720" s="6">
        <v>-8.15</v>
      </c>
      <c r="O720" s="7" t="s">
        <v>45</v>
      </c>
      <c r="P720" s="7" t="s">
        <v>46</v>
      </c>
      <c r="Q720" s="7" t="s">
        <v>25</v>
      </c>
      <c r="R720" s="10">
        <v>-17216.22</v>
      </c>
      <c r="S720" s="10">
        <v>-5075.32</v>
      </c>
      <c r="T720" s="9" t="s">
        <v>29</v>
      </c>
      <c r="U720" s="9"/>
      <c r="V720" s="9"/>
      <c r="W720" s="9"/>
      <c r="X720" s="9"/>
      <c r="Y720" s="9"/>
      <c r="Z720" s="9"/>
      <c r="AA720" s="9"/>
      <c r="AB720" s="9"/>
    </row>
    <row r="721">
      <c r="A721" s="5">
        <v>42357.0</v>
      </c>
      <c r="B721" s="6">
        <v>2015.0</v>
      </c>
      <c r="C721" s="7" t="s">
        <v>20</v>
      </c>
      <c r="D721" s="7" t="s">
        <v>57</v>
      </c>
      <c r="E721" s="7" t="s">
        <v>39</v>
      </c>
      <c r="F721" s="6">
        <v>9490.0</v>
      </c>
      <c r="G721" s="6">
        <v>337506.79</v>
      </c>
      <c r="H721" s="6">
        <v>35.56</v>
      </c>
      <c r="I721" s="8">
        <v>38.16893150684931</v>
      </c>
      <c r="J721" s="6">
        <v>362223.16</v>
      </c>
      <c r="K721" s="6">
        <v>-24716.37</v>
      </c>
      <c r="L721" s="6">
        <v>-7.32</v>
      </c>
      <c r="M721" s="6">
        <f t="shared" si="1"/>
        <v>-2.6044647</v>
      </c>
      <c r="N721" s="6">
        <v>-7.32</v>
      </c>
      <c r="O721" s="7" t="s">
        <v>45</v>
      </c>
      <c r="P721" s="7" t="s">
        <v>46</v>
      </c>
      <c r="Q721" s="7" t="s">
        <v>25</v>
      </c>
      <c r="R721" s="10">
        <v>-22291.54</v>
      </c>
      <c r="S721" s="10">
        <v>-2424.83</v>
      </c>
      <c r="T721" s="9" t="s">
        <v>29</v>
      </c>
      <c r="U721" s="9"/>
      <c r="V721" s="9"/>
      <c r="W721" s="9"/>
      <c r="X721" s="9"/>
      <c r="Y721" s="9"/>
      <c r="Z721" s="9"/>
      <c r="AA721" s="9"/>
      <c r="AB721" s="9"/>
    </row>
    <row r="722">
      <c r="A722" s="5">
        <v>42358.0</v>
      </c>
      <c r="B722" s="6">
        <v>2015.0</v>
      </c>
      <c r="C722" s="7" t="s">
        <v>20</v>
      </c>
      <c r="D722" s="7" t="s">
        <v>58</v>
      </c>
      <c r="E722" s="7" t="s">
        <v>41</v>
      </c>
      <c r="F722" s="6">
        <v>4382.0</v>
      </c>
      <c r="G722" s="6">
        <v>155312.78</v>
      </c>
      <c r="H722" s="6">
        <v>35.44</v>
      </c>
      <c r="I722" s="8">
        <v>38.20674806024646</v>
      </c>
      <c r="J722" s="6">
        <v>167421.97</v>
      </c>
      <c r="K722" s="6">
        <v>-12109.19</v>
      </c>
      <c r="L722" s="6">
        <v>-7.8</v>
      </c>
      <c r="M722" s="6">
        <f t="shared" si="1"/>
        <v>-2.763393428</v>
      </c>
      <c r="N722" s="6">
        <v>-7.8</v>
      </c>
      <c r="O722" s="7" t="s">
        <v>45</v>
      </c>
      <c r="P722" s="7" t="s">
        <v>46</v>
      </c>
      <c r="Q722" s="7" t="s">
        <v>25</v>
      </c>
      <c r="R722" s="10">
        <v>-24716.37</v>
      </c>
      <c r="S722" s="10">
        <v>12607.18</v>
      </c>
      <c r="T722" s="9" t="s">
        <v>33</v>
      </c>
      <c r="U722" s="9"/>
      <c r="V722" s="9"/>
      <c r="W722" s="9"/>
      <c r="X722" s="9"/>
      <c r="Y722" s="9"/>
      <c r="Z722" s="9"/>
      <c r="AA722" s="9"/>
      <c r="AB722" s="9"/>
    </row>
    <row r="723">
      <c r="A723" s="5">
        <v>42359.0</v>
      </c>
      <c r="B723" s="6">
        <v>2015.0</v>
      </c>
      <c r="C723" s="7" t="s">
        <v>20</v>
      </c>
      <c r="D723" s="7" t="s">
        <v>59</v>
      </c>
      <c r="E723" s="7" t="s">
        <v>22</v>
      </c>
      <c r="F723" s="6">
        <v>8196.0</v>
      </c>
      <c r="G723" s="6">
        <v>289243.38</v>
      </c>
      <c r="H723" s="6">
        <v>35.29</v>
      </c>
      <c r="I723" s="8">
        <v>38.163124694973156</v>
      </c>
      <c r="J723" s="6">
        <v>312784.97</v>
      </c>
      <c r="K723" s="6">
        <v>-23541.59</v>
      </c>
      <c r="L723" s="6">
        <v>-8.14</v>
      </c>
      <c r="M723" s="6">
        <f t="shared" si="1"/>
        <v>-2.872326745</v>
      </c>
      <c r="N723" s="6">
        <v>-8.14</v>
      </c>
      <c r="O723" s="7" t="s">
        <v>45</v>
      </c>
      <c r="P723" s="7" t="s">
        <v>46</v>
      </c>
      <c r="Q723" s="7" t="s">
        <v>25</v>
      </c>
      <c r="R723" s="10">
        <v>-12109.19</v>
      </c>
      <c r="S723" s="10">
        <v>-11432.4</v>
      </c>
      <c r="T723" s="9" t="s">
        <v>29</v>
      </c>
      <c r="U723" s="9"/>
      <c r="V723" s="9"/>
      <c r="W723" s="9"/>
      <c r="X723" s="9"/>
      <c r="Y723" s="9"/>
      <c r="Z723" s="9"/>
      <c r="AA723" s="9"/>
      <c r="AB723" s="9"/>
    </row>
    <row r="724">
      <c r="A724" s="5">
        <v>42360.0</v>
      </c>
      <c r="B724" s="6">
        <v>2015.0</v>
      </c>
      <c r="C724" s="7" t="s">
        <v>20</v>
      </c>
      <c r="D724" s="7" t="s">
        <v>60</v>
      </c>
      <c r="E724" s="7" t="s">
        <v>28</v>
      </c>
      <c r="F724" s="6">
        <v>8863.0</v>
      </c>
      <c r="G724" s="6">
        <v>313125.33</v>
      </c>
      <c r="H724" s="6">
        <v>35.33</v>
      </c>
      <c r="I724" s="8">
        <v>38.16987701681146</v>
      </c>
      <c r="J724" s="6">
        <v>338299.62</v>
      </c>
      <c r="K724" s="6">
        <v>-25174.29</v>
      </c>
      <c r="L724" s="6">
        <v>-8.04</v>
      </c>
      <c r="M724" s="6">
        <f t="shared" si="1"/>
        <v>-2.840380232</v>
      </c>
      <c r="N724" s="6">
        <v>-8.04</v>
      </c>
      <c r="O724" s="7" t="s">
        <v>45</v>
      </c>
      <c r="P724" s="7" t="s">
        <v>46</v>
      </c>
      <c r="Q724" s="7" t="s">
        <v>25</v>
      </c>
      <c r="R724" s="10">
        <v>-23541.59</v>
      </c>
      <c r="S724" s="10">
        <v>-1632.69</v>
      </c>
      <c r="T724" s="9" t="s">
        <v>29</v>
      </c>
      <c r="U724" s="9"/>
      <c r="V724" s="9"/>
      <c r="W724" s="9"/>
      <c r="X724" s="9"/>
      <c r="Y724" s="9"/>
      <c r="Z724" s="9"/>
      <c r="AA724" s="9"/>
      <c r="AB724" s="9"/>
    </row>
    <row r="725">
      <c r="A725" s="5">
        <v>42361.0</v>
      </c>
      <c r="B725" s="6">
        <v>2015.0</v>
      </c>
      <c r="C725" s="7" t="s">
        <v>20</v>
      </c>
      <c r="D725" s="7" t="s">
        <v>61</v>
      </c>
      <c r="E725" s="7" t="s">
        <v>32</v>
      </c>
      <c r="F725" s="6">
        <v>6534.0</v>
      </c>
      <c r="G725" s="6">
        <v>268330.39</v>
      </c>
      <c r="H725" s="6">
        <v>41.07</v>
      </c>
      <c r="I725" s="8">
        <v>38.197768595041325</v>
      </c>
      <c r="J725" s="6">
        <v>249584.22</v>
      </c>
      <c r="K725" s="6">
        <v>18746.18</v>
      </c>
      <c r="L725" s="6">
        <v>6.99</v>
      </c>
      <c r="M725" s="6">
        <f t="shared" si="1"/>
        <v>2.869020508</v>
      </c>
      <c r="N725" s="6">
        <v>6.99</v>
      </c>
      <c r="O725" s="7" t="s">
        <v>45</v>
      </c>
      <c r="P725" s="7" t="s">
        <v>46</v>
      </c>
      <c r="Q725" s="7" t="s">
        <v>25</v>
      </c>
      <c r="R725" s="10">
        <v>-25174.29</v>
      </c>
      <c r="S725" s="10">
        <v>43920.46</v>
      </c>
      <c r="T725" s="9" t="s">
        <v>33</v>
      </c>
      <c r="U725" s="9"/>
      <c r="V725" s="9"/>
      <c r="W725" s="9"/>
      <c r="X725" s="9"/>
      <c r="Y725" s="9"/>
      <c r="Z725" s="9"/>
      <c r="AA725" s="9"/>
      <c r="AB725" s="9"/>
    </row>
    <row r="726">
      <c r="A726" s="5">
        <v>42362.0</v>
      </c>
      <c r="B726" s="6">
        <v>2015.0</v>
      </c>
      <c r="C726" s="7" t="s">
        <v>20</v>
      </c>
      <c r="D726" s="7" t="s">
        <v>62</v>
      </c>
      <c r="E726" s="7" t="s">
        <v>35</v>
      </c>
      <c r="F726" s="6">
        <v>9540.0</v>
      </c>
      <c r="G726" s="6">
        <v>392228.14</v>
      </c>
      <c r="H726" s="6">
        <v>41.11</v>
      </c>
      <c r="I726" s="8">
        <v>38.19666561844864</v>
      </c>
      <c r="J726" s="6">
        <v>364396.19</v>
      </c>
      <c r="K726" s="6">
        <v>27831.94</v>
      </c>
      <c r="L726" s="6">
        <v>7.1</v>
      </c>
      <c r="M726" s="6">
        <f t="shared" si="1"/>
        <v>2.91739413</v>
      </c>
      <c r="N726" s="6">
        <v>7.1</v>
      </c>
      <c r="O726" s="7" t="s">
        <v>45</v>
      </c>
      <c r="P726" s="7" t="s">
        <v>46</v>
      </c>
      <c r="Q726" s="7" t="s">
        <v>25</v>
      </c>
      <c r="R726" s="10">
        <v>18746.18</v>
      </c>
      <c r="S726" s="10">
        <v>9085.77</v>
      </c>
      <c r="T726" s="9" t="s">
        <v>33</v>
      </c>
      <c r="U726" s="9"/>
      <c r="V726" s="9"/>
      <c r="W726" s="9"/>
      <c r="X726" s="9"/>
      <c r="Y726" s="9"/>
      <c r="Z726" s="9"/>
      <c r="AA726" s="9"/>
      <c r="AB726" s="9"/>
    </row>
    <row r="727">
      <c r="A727" s="5">
        <v>42363.0</v>
      </c>
      <c r="B727" s="6">
        <v>2015.0</v>
      </c>
      <c r="C727" s="7" t="s">
        <v>20</v>
      </c>
      <c r="D727" s="7" t="s">
        <v>63</v>
      </c>
      <c r="E727" s="7" t="s">
        <v>37</v>
      </c>
      <c r="F727" s="6">
        <v>3256.0</v>
      </c>
      <c r="G727" s="6">
        <v>133728.98</v>
      </c>
      <c r="H727" s="6">
        <v>41.07</v>
      </c>
      <c r="I727" s="8">
        <v>38.19519656019656</v>
      </c>
      <c r="J727" s="6">
        <v>124363.56</v>
      </c>
      <c r="K727" s="6">
        <v>9365.43</v>
      </c>
      <c r="L727" s="6">
        <v>7.0</v>
      </c>
      <c r="M727" s="6">
        <f t="shared" si="1"/>
        <v>2.876360565</v>
      </c>
      <c r="N727" s="6">
        <v>7.0</v>
      </c>
      <c r="O727" s="7" t="s">
        <v>45</v>
      </c>
      <c r="P727" s="7" t="s">
        <v>46</v>
      </c>
      <c r="Q727" s="7" t="s">
        <v>25</v>
      </c>
      <c r="R727" s="10">
        <v>27831.94</v>
      </c>
      <c r="S727" s="10">
        <v>-18466.52</v>
      </c>
      <c r="T727" s="9" t="s">
        <v>29</v>
      </c>
      <c r="U727" s="9"/>
      <c r="V727" s="9"/>
      <c r="W727" s="9"/>
      <c r="X727" s="9"/>
      <c r="Y727" s="9"/>
      <c r="Z727" s="9"/>
      <c r="AA727" s="9"/>
      <c r="AB727" s="9"/>
    </row>
    <row r="728">
      <c r="A728" s="5">
        <v>42364.0</v>
      </c>
      <c r="B728" s="6">
        <v>2015.0</v>
      </c>
      <c r="C728" s="7" t="s">
        <v>20</v>
      </c>
      <c r="D728" s="7" t="s">
        <v>64</v>
      </c>
      <c r="E728" s="7" t="s">
        <v>39</v>
      </c>
      <c r="F728" s="6">
        <v>2013.0</v>
      </c>
      <c r="G728" s="6">
        <v>82778.44</v>
      </c>
      <c r="H728" s="6">
        <v>41.12</v>
      </c>
      <c r="I728" s="8">
        <v>38.19000993541977</v>
      </c>
      <c r="J728" s="6">
        <v>76876.49</v>
      </c>
      <c r="K728" s="6">
        <v>5901.95</v>
      </c>
      <c r="L728" s="6">
        <v>7.13</v>
      </c>
      <c r="M728" s="6">
        <f t="shared" si="1"/>
        <v>2.931917536</v>
      </c>
      <c r="N728" s="6">
        <v>7.13</v>
      </c>
      <c r="O728" s="7" t="s">
        <v>45</v>
      </c>
      <c r="P728" s="7" t="s">
        <v>46</v>
      </c>
      <c r="Q728" s="7" t="s">
        <v>25</v>
      </c>
      <c r="R728" s="10">
        <v>9365.43</v>
      </c>
      <c r="S728" s="10">
        <v>-3463.48</v>
      </c>
      <c r="T728" s="9" t="s">
        <v>29</v>
      </c>
      <c r="U728" s="9"/>
      <c r="V728" s="9"/>
      <c r="W728" s="9"/>
      <c r="X728" s="9"/>
      <c r="Y728" s="9"/>
      <c r="Z728" s="9"/>
      <c r="AA728" s="9"/>
      <c r="AB728" s="9"/>
    </row>
    <row r="729">
      <c r="A729" s="5">
        <v>42365.0</v>
      </c>
      <c r="B729" s="6">
        <v>2015.0</v>
      </c>
      <c r="C729" s="7" t="s">
        <v>20</v>
      </c>
      <c r="D729" s="7" t="s">
        <v>65</v>
      </c>
      <c r="E729" s="7" t="s">
        <v>41</v>
      </c>
      <c r="F729" s="6">
        <v>1692.0</v>
      </c>
      <c r="G729" s="6">
        <v>69522.84</v>
      </c>
      <c r="H729" s="6">
        <v>41.09</v>
      </c>
      <c r="I729" s="8">
        <v>38.18917257683215</v>
      </c>
      <c r="J729" s="6">
        <v>64616.08</v>
      </c>
      <c r="K729" s="6">
        <v>4906.76</v>
      </c>
      <c r="L729" s="6">
        <v>7.06</v>
      </c>
      <c r="M729" s="6">
        <f t="shared" si="1"/>
        <v>2.899976359</v>
      </c>
      <c r="N729" s="6">
        <v>7.06</v>
      </c>
      <c r="O729" s="7" t="s">
        <v>45</v>
      </c>
      <c r="P729" s="7" t="s">
        <v>46</v>
      </c>
      <c r="Q729" s="7" t="s">
        <v>25</v>
      </c>
      <c r="R729" s="10">
        <v>5901.95</v>
      </c>
      <c r="S729" s="10">
        <v>-995.19</v>
      </c>
      <c r="T729" s="9" t="s">
        <v>29</v>
      </c>
      <c r="U729" s="9"/>
      <c r="V729" s="9"/>
      <c r="W729" s="9"/>
      <c r="X729" s="9"/>
      <c r="Y729" s="9"/>
      <c r="Z729" s="9"/>
      <c r="AA729" s="9"/>
      <c r="AB729" s="9"/>
    </row>
    <row r="730">
      <c r="A730" s="5">
        <v>42366.0</v>
      </c>
      <c r="B730" s="6">
        <v>2015.0</v>
      </c>
      <c r="C730" s="7" t="s">
        <v>20</v>
      </c>
      <c r="D730" s="7" t="s">
        <v>66</v>
      </c>
      <c r="E730" s="7" t="s">
        <v>22</v>
      </c>
      <c r="F730" s="6">
        <v>3234.0</v>
      </c>
      <c r="G730" s="6">
        <v>133021.27</v>
      </c>
      <c r="H730" s="6">
        <v>41.13</v>
      </c>
      <c r="I730" s="8">
        <v>38.18824675324675</v>
      </c>
      <c r="J730" s="6">
        <v>123500.79</v>
      </c>
      <c r="K730" s="6">
        <v>9520.49</v>
      </c>
      <c r="L730" s="6">
        <v>7.16</v>
      </c>
      <c r="M730" s="6">
        <f t="shared" si="1"/>
        <v>2.943874459</v>
      </c>
      <c r="N730" s="6">
        <v>7.16</v>
      </c>
      <c r="O730" s="7" t="s">
        <v>45</v>
      </c>
      <c r="P730" s="7" t="s">
        <v>46</v>
      </c>
      <c r="Q730" s="7" t="s">
        <v>25</v>
      </c>
      <c r="R730" s="10">
        <v>4906.76</v>
      </c>
      <c r="S730" s="10">
        <v>4613.72</v>
      </c>
      <c r="T730" s="9" t="s">
        <v>33</v>
      </c>
      <c r="U730" s="9"/>
      <c r="V730" s="9"/>
      <c r="W730" s="9"/>
      <c r="X730" s="9"/>
      <c r="Y730" s="9"/>
      <c r="Z730" s="9"/>
      <c r="AA730" s="9"/>
      <c r="AB730" s="9"/>
    </row>
    <row r="731">
      <c r="A731" s="5">
        <v>42367.0</v>
      </c>
      <c r="B731" s="6">
        <v>2015.0</v>
      </c>
      <c r="C731" s="7" t="s">
        <v>20</v>
      </c>
      <c r="D731" s="7" t="s">
        <v>67</v>
      </c>
      <c r="E731" s="7" t="s">
        <v>28</v>
      </c>
      <c r="F731" s="6">
        <v>4592.0</v>
      </c>
      <c r="G731" s="6">
        <v>161267.52</v>
      </c>
      <c r="H731" s="6">
        <v>35.12</v>
      </c>
      <c r="I731" s="8">
        <v>38.192105836236934</v>
      </c>
      <c r="J731" s="6">
        <v>175378.15</v>
      </c>
      <c r="K731" s="6">
        <v>-14110.63</v>
      </c>
      <c r="L731" s="6">
        <v>-8.75</v>
      </c>
      <c r="M731" s="6">
        <f t="shared" si="1"/>
        <v>-3.072872387</v>
      </c>
      <c r="N731" s="6">
        <v>-8.75</v>
      </c>
      <c r="O731" s="7" t="s">
        <v>45</v>
      </c>
      <c r="P731" s="7" t="s">
        <v>46</v>
      </c>
      <c r="Q731" s="7" t="s">
        <v>25</v>
      </c>
      <c r="R731" s="10">
        <v>9520.49</v>
      </c>
      <c r="S731" s="10">
        <v>-23631.11</v>
      </c>
      <c r="T731" s="9" t="s">
        <v>29</v>
      </c>
      <c r="U731" s="9"/>
      <c r="V731" s="9"/>
      <c r="W731" s="9"/>
      <c r="X731" s="9"/>
      <c r="Y731" s="9"/>
      <c r="Z731" s="9"/>
      <c r="AA731" s="9"/>
      <c r="AB731" s="9"/>
    </row>
    <row r="732">
      <c r="A732" s="5">
        <v>42368.0</v>
      </c>
      <c r="B732" s="6">
        <v>2015.0</v>
      </c>
      <c r="C732" s="7" t="s">
        <v>20</v>
      </c>
      <c r="D732" s="7" t="s">
        <v>21</v>
      </c>
      <c r="E732" s="7" t="s">
        <v>32</v>
      </c>
      <c r="F732" s="6">
        <v>5945.0</v>
      </c>
      <c r="G732" s="6">
        <v>208583.22</v>
      </c>
      <c r="H732" s="6">
        <v>35.09</v>
      </c>
      <c r="I732" s="8">
        <v>38.19348359966359</v>
      </c>
      <c r="J732" s="6">
        <v>227060.26</v>
      </c>
      <c r="K732" s="6">
        <v>-18477.04</v>
      </c>
      <c r="L732" s="6">
        <v>-8.86</v>
      </c>
      <c r="M732" s="6">
        <f t="shared" si="1"/>
        <v>-3.107996636</v>
      </c>
      <c r="N732" s="6">
        <v>-8.86</v>
      </c>
      <c r="O732" s="7" t="s">
        <v>45</v>
      </c>
      <c r="P732" s="7" t="s">
        <v>46</v>
      </c>
      <c r="Q732" s="7" t="s">
        <v>25</v>
      </c>
      <c r="R732" s="10">
        <v>-14110.63</v>
      </c>
      <c r="S732" s="10">
        <v>-4366.42</v>
      </c>
      <c r="T732" s="9" t="s">
        <v>29</v>
      </c>
      <c r="U732" s="9"/>
      <c r="V732" s="9"/>
      <c r="W732" s="9"/>
      <c r="X732" s="9"/>
      <c r="Y732" s="9"/>
      <c r="Z732" s="9"/>
      <c r="AA732" s="9"/>
      <c r="AB732" s="9"/>
    </row>
    <row r="733">
      <c r="A733" s="5">
        <v>42369.0</v>
      </c>
      <c r="B733" s="6">
        <v>2015.0</v>
      </c>
      <c r="C733" s="7" t="s">
        <v>20</v>
      </c>
      <c r="D733" s="7" t="s">
        <v>27</v>
      </c>
      <c r="E733" s="7" t="s">
        <v>35</v>
      </c>
      <c r="F733" s="6">
        <v>9266.0</v>
      </c>
      <c r="G733" s="6">
        <v>325457.53</v>
      </c>
      <c r="H733" s="6">
        <v>35.12</v>
      </c>
      <c r="I733" s="8">
        <v>38.196604791711636</v>
      </c>
      <c r="J733" s="6">
        <v>353929.74</v>
      </c>
      <c r="K733" s="6">
        <v>-28472.21</v>
      </c>
      <c r="L733" s="6">
        <v>-8.75</v>
      </c>
      <c r="M733" s="6">
        <f t="shared" si="1"/>
        <v>-3.072761709</v>
      </c>
      <c r="N733" s="6">
        <v>-8.75</v>
      </c>
      <c r="O733" s="7" t="s">
        <v>45</v>
      </c>
      <c r="P733" s="7" t="s">
        <v>46</v>
      </c>
      <c r="Q733" s="7" t="s">
        <v>25</v>
      </c>
      <c r="R733" s="10">
        <v>-18477.04</v>
      </c>
      <c r="S733" s="10">
        <v>-9995.17</v>
      </c>
      <c r="T733" s="9" t="s">
        <v>29</v>
      </c>
      <c r="U733" s="9"/>
      <c r="V733" s="9"/>
      <c r="W733" s="9"/>
      <c r="X733" s="9"/>
      <c r="Y733" s="9"/>
      <c r="Z733" s="9"/>
      <c r="AA733" s="9"/>
      <c r="AB733" s="9"/>
    </row>
    <row r="734">
      <c r="A734" s="5">
        <v>42370.0</v>
      </c>
      <c r="B734" s="6">
        <v>2016.0</v>
      </c>
      <c r="C734" s="7" t="s">
        <v>30</v>
      </c>
      <c r="D734" s="7" t="s">
        <v>31</v>
      </c>
      <c r="E734" s="7" t="s">
        <v>37</v>
      </c>
      <c r="F734" s="6">
        <v>3179.0</v>
      </c>
      <c r="G734" s="6">
        <v>111650.24</v>
      </c>
      <c r="H734" s="6">
        <v>35.12</v>
      </c>
      <c r="I734" s="8">
        <v>38.20329663416169</v>
      </c>
      <c r="J734" s="6">
        <v>121448.28</v>
      </c>
      <c r="K734" s="6">
        <v>-9798.04</v>
      </c>
      <c r="L734" s="6">
        <v>-8.78</v>
      </c>
      <c r="M734" s="6">
        <f t="shared" si="1"/>
        <v>-3.082113872</v>
      </c>
      <c r="N734" s="6">
        <v>-8.78</v>
      </c>
      <c r="O734" s="7" t="s">
        <v>45</v>
      </c>
      <c r="P734" s="7" t="s">
        <v>46</v>
      </c>
      <c r="Q734" s="7" t="s">
        <v>25</v>
      </c>
      <c r="R734" s="10">
        <v>-28472.21</v>
      </c>
      <c r="S734" s="10">
        <v>18674.17</v>
      </c>
      <c r="T734" s="9" t="s">
        <v>33</v>
      </c>
      <c r="U734" s="9"/>
      <c r="V734" s="9"/>
      <c r="W734" s="9"/>
      <c r="X734" s="9"/>
      <c r="Y734" s="9"/>
      <c r="Z734" s="9"/>
      <c r="AA734" s="9"/>
      <c r="AB734" s="9"/>
    </row>
    <row r="735">
      <c r="A735" s="5">
        <v>42371.0</v>
      </c>
      <c r="B735" s="6">
        <v>2016.0</v>
      </c>
      <c r="C735" s="7" t="s">
        <v>30</v>
      </c>
      <c r="D735" s="7" t="s">
        <v>34</v>
      </c>
      <c r="E735" s="7" t="s">
        <v>39</v>
      </c>
      <c r="F735" s="6">
        <v>7479.0</v>
      </c>
      <c r="G735" s="6">
        <v>262421.28</v>
      </c>
      <c r="H735" s="6">
        <v>35.09</v>
      </c>
      <c r="I735" s="8">
        <v>38.19706511565717</v>
      </c>
      <c r="J735" s="6">
        <v>285675.85</v>
      </c>
      <c r="K735" s="6">
        <v>-23254.56</v>
      </c>
      <c r="L735" s="6">
        <v>-8.86</v>
      </c>
      <c r="M735" s="6">
        <f t="shared" si="1"/>
        <v>-3.109314079</v>
      </c>
      <c r="N735" s="6">
        <v>-8.86</v>
      </c>
      <c r="O735" s="7" t="s">
        <v>45</v>
      </c>
      <c r="P735" s="7" t="s">
        <v>46</v>
      </c>
      <c r="Q735" s="7" t="s">
        <v>25</v>
      </c>
      <c r="R735" s="10">
        <v>-9798.04</v>
      </c>
      <c r="S735" s="10">
        <v>-13456.52</v>
      </c>
      <c r="T735" s="9" t="s">
        <v>29</v>
      </c>
      <c r="U735" s="9"/>
      <c r="V735" s="9"/>
      <c r="W735" s="9"/>
      <c r="X735" s="9"/>
      <c r="Y735" s="9"/>
      <c r="Z735" s="9"/>
      <c r="AA735" s="9"/>
      <c r="AB735" s="9"/>
    </row>
    <row r="736">
      <c r="A736" s="5">
        <v>42372.0</v>
      </c>
      <c r="B736" s="6">
        <v>2016.0</v>
      </c>
      <c r="C736" s="7" t="s">
        <v>30</v>
      </c>
      <c r="D736" s="7" t="s">
        <v>36</v>
      </c>
      <c r="E736" s="7" t="s">
        <v>41</v>
      </c>
      <c r="F736" s="6">
        <v>4694.0</v>
      </c>
      <c r="G736" s="6">
        <v>164527.54</v>
      </c>
      <c r="H736" s="6">
        <v>35.05</v>
      </c>
      <c r="I736" s="8">
        <v>38.199605879846615</v>
      </c>
      <c r="J736" s="6">
        <v>179308.95</v>
      </c>
      <c r="K736" s="6">
        <v>-14781.41</v>
      </c>
      <c r="L736" s="6">
        <v>-8.98</v>
      </c>
      <c r="M736" s="6">
        <f t="shared" si="1"/>
        <v>-3.149000852</v>
      </c>
      <c r="N736" s="6">
        <v>-8.98</v>
      </c>
      <c r="O736" s="7" t="s">
        <v>45</v>
      </c>
      <c r="P736" s="7" t="s">
        <v>46</v>
      </c>
      <c r="Q736" s="7" t="s">
        <v>25</v>
      </c>
      <c r="R736" s="10">
        <v>-23254.56</v>
      </c>
      <c r="S736" s="10">
        <v>8473.15</v>
      </c>
      <c r="T736" s="9" t="s">
        <v>33</v>
      </c>
      <c r="U736" s="9"/>
      <c r="V736" s="9"/>
      <c r="W736" s="9"/>
      <c r="X736" s="9"/>
      <c r="Y736" s="9"/>
      <c r="Z736" s="9"/>
      <c r="AA736" s="9"/>
      <c r="AB736" s="9"/>
    </row>
    <row r="737">
      <c r="A737" s="5">
        <v>42373.0</v>
      </c>
      <c r="B737" s="6">
        <v>2016.0</v>
      </c>
      <c r="C737" s="7" t="s">
        <v>30</v>
      </c>
      <c r="D737" s="7" t="s">
        <v>38</v>
      </c>
      <c r="E737" s="7" t="s">
        <v>22</v>
      </c>
      <c r="F737" s="6">
        <v>7843.0</v>
      </c>
      <c r="G737" s="6">
        <v>274990.15</v>
      </c>
      <c r="H737" s="6">
        <v>35.06</v>
      </c>
      <c r="I737" s="8">
        <v>38.19663904118322</v>
      </c>
      <c r="J737" s="6">
        <v>299576.24</v>
      </c>
      <c r="K737" s="6">
        <v>-24586.09</v>
      </c>
      <c r="L737" s="6">
        <v>-8.94</v>
      </c>
      <c r="M737" s="6">
        <f t="shared" si="1"/>
        <v>-3.134781334</v>
      </c>
      <c r="N737" s="6">
        <v>-8.94</v>
      </c>
      <c r="O737" s="7" t="s">
        <v>45</v>
      </c>
      <c r="P737" s="7" t="s">
        <v>46</v>
      </c>
      <c r="Q737" s="7" t="s">
        <v>25</v>
      </c>
      <c r="R737" s="10">
        <v>-14781.41</v>
      </c>
      <c r="S737" s="10">
        <v>-9804.68</v>
      </c>
      <c r="T737" s="9" t="s">
        <v>29</v>
      </c>
      <c r="U737" s="9"/>
      <c r="V737" s="9"/>
      <c r="W737" s="9"/>
      <c r="X737" s="9"/>
      <c r="Y737" s="9"/>
      <c r="Z737" s="9"/>
      <c r="AA737" s="9"/>
      <c r="AB737" s="9"/>
    </row>
    <row r="738">
      <c r="A738" s="5">
        <v>42374.0</v>
      </c>
      <c r="B738" s="6">
        <v>2016.0</v>
      </c>
      <c r="C738" s="7" t="s">
        <v>30</v>
      </c>
      <c r="D738" s="7" t="s">
        <v>40</v>
      </c>
      <c r="E738" s="7" t="s">
        <v>28</v>
      </c>
      <c r="F738" s="6">
        <v>6150.0</v>
      </c>
      <c r="G738" s="6">
        <v>215737.84</v>
      </c>
      <c r="H738" s="6">
        <v>35.08</v>
      </c>
      <c r="I738" s="8">
        <v>38.15318536585366</v>
      </c>
      <c r="J738" s="6">
        <v>234642.09</v>
      </c>
      <c r="K738" s="6">
        <v>-18904.24</v>
      </c>
      <c r="L738" s="6">
        <v>-8.76</v>
      </c>
      <c r="M738" s="6">
        <f t="shared" si="1"/>
        <v>-3.073860163</v>
      </c>
      <c r="N738" s="6">
        <v>-8.76</v>
      </c>
      <c r="O738" s="7" t="s">
        <v>45</v>
      </c>
      <c r="P738" s="7" t="s">
        <v>46</v>
      </c>
      <c r="Q738" s="7" t="s">
        <v>25</v>
      </c>
      <c r="R738" s="10">
        <v>-24586.09</v>
      </c>
      <c r="S738" s="10">
        <v>5681.85</v>
      </c>
      <c r="T738" s="9" t="s">
        <v>33</v>
      </c>
      <c r="U738" s="9"/>
      <c r="V738" s="9"/>
      <c r="W738" s="9"/>
      <c r="X738" s="9"/>
      <c r="Y738" s="9"/>
      <c r="Z738" s="9"/>
      <c r="AA738" s="9"/>
      <c r="AB738" s="9"/>
    </row>
    <row r="739">
      <c r="A739" s="5">
        <v>42375.0</v>
      </c>
      <c r="B739" s="6">
        <v>2016.0</v>
      </c>
      <c r="C739" s="7" t="s">
        <v>30</v>
      </c>
      <c r="D739" s="7" t="s">
        <v>42</v>
      </c>
      <c r="E739" s="7" t="s">
        <v>32</v>
      </c>
      <c r="F739" s="6">
        <v>2401.0</v>
      </c>
      <c r="G739" s="6">
        <v>98646.98</v>
      </c>
      <c r="H739" s="6">
        <v>41.09</v>
      </c>
      <c r="I739" s="8">
        <v>38.15516867971678</v>
      </c>
      <c r="J739" s="6">
        <v>91610.56</v>
      </c>
      <c r="K739" s="6">
        <v>7036.42</v>
      </c>
      <c r="L739" s="6">
        <v>7.13</v>
      </c>
      <c r="M739" s="6">
        <f t="shared" si="1"/>
        <v>2.930620575</v>
      </c>
      <c r="N739" s="6">
        <v>7.13</v>
      </c>
      <c r="O739" s="7" t="s">
        <v>45</v>
      </c>
      <c r="P739" s="7" t="s">
        <v>46</v>
      </c>
      <c r="Q739" s="7" t="s">
        <v>25</v>
      </c>
      <c r="R739" s="10">
        <v>-18904.24</v>
      </c>
      <c r="S739" s="10">
        <v>25940.67</v>
      </c>
      <c r="T739" s="9" t="s">
        <v>33</v>
      </c>
      <c r="U739" s="9"/>
      <c r="V739" s="9"/>
      <c r="W739" s="9"/>
      <c r="X739" s="9"/>
      <c r="Y739" s="9"/>
      <c r="Z739" s="9"/>
      <c r="AA739" s="9"/>
      <c r="AB739" s="9"/>
    </row>
    <row r="740">
      <c r="A740" s="5">
        <v>42376.0</v>
      </c>
      <c r="B740" s="6">
        <v>2016.0</v>
      </c>
      <c r="C740" s="7" t="s">
        <v>30</v>
      </c>
      <c r="D740" s="7" t="s">
        <v>43</v>
      </c>
      <c r="E740" s="7" t="s">
        <v>35</v>
      </c>
      <c r="F740" s="6">
        <v>1808.0</v>
      </c>
      <c r="G740" s="6">
        <v>74401.22</v>
      </c>
      <c r="H740" s="6">
        <v>41.15</v>
      </c>
      <c r="I740" s="8">
        <v>38.15755530973451</v>
      </c>
      <c r="J740" s="6">
        <v>68988.86</v>
      </c>
      <c r="K740" s="6">
        <v>5412.35</v>
      </c>
      <c r="L740" s="6">
        <v>7.27</v>
      </c>
      <c r="M740" s="6">
        <f t="shared" si="1"/>
        <v>2.993556416</v>
      </c>
      <c r="N740" s="6">
        <v>7.27</v>
      </c>
      <c r="O740" s="7" t="s">
        <v>45</v>
      </c>
      <c r="P740" s="7" t="s">
        <v>46</v>
      </c>
      <c r="Q740" s="7" t="s">
        <v>25</v>
      </c>
      <c r="R740" s="10">
        <v>7036.42</v>
      </c>
      <c r="S740" s="10">
        <v>-1624.07</v>
      </c>
      <c r="T740" s="9" t="s">
        <v>29</v>
      </c>
      <c r="U740" s="9"/>
      <c r="V740" s="9"/>
      <c r="W740" s="9"/>
      <c r="X740" s="9"/>
      <c r="Y740" s="9"/>
      <c r="Z740" s="9"/>
      <c r="AA740" s="9"/>
      <c r="AB740" s="9"/>
    </row>
    <row r="741">
      <c r="A741" s="5">
        <v>42377.0</v>
      </c>
      <c r="B741" s="6">
        <v>2016.0</v>
      </c>
      <c r="C741" s="7" t="s">
        <v>30</v>
      </c>
      <c r="D741" s="7" t="s">
        <v>44</v>
      </c>
      <c r="E741" s="7" t="s">
        <v>37</v>
      </c>
      <c r="F741" s="6">
        <v>2594.0</v>
      </c>
      <c r="G741" s="6">
        <v>106592.34</v>
      </c>
      <c r="H741" s="6">
        <v>41.09</v>
      </c>
      <c r="I741" s="8">
        <v>38.17335389360061</v>
      </c>
      <c r="J741" s="6">
        <v>99021.68</v>
      </c>
      <c r="K741" s="6">
        <v>7570.66</v>
      </c>
      <c r="L741" s="6">
        <v>7.1</v>
      </c>
      <c r="M741" s="6">
        <f t="shared" si="1"/>
        <v>2.918527371</v>
      </c>
      <c r="N741" s="6">
        <v>7.1</v>
      </c>
      <c r="O741" s="7" t="s">
        <v>45</v>
      </c>
      <c r="P741" s="7" t="s">
        <v>46</v>
      </c>
      <c r="Q741" s="7" t="s">
        <v>25</v>
      </c>
      <c r="R741" s="10">
        <v>5412.35</v>
      </c>
      <c r="S741" s="10">
        <v>2158.31</v>
      </c>
      <c r="T741" s="9" t="s">
        <v>33</v>
      </c>
      <c r="U741" s="9"/>
      <c r="V741" s="9"/>
      <c r="W741" s="9"/>
      <c r="X741" s="9"/>
      <c r="Y741" s="9"/>
      <c r="Z741" s="9"/>
      <c r="AA741" s="9"/>
      <c r="AB741" s="9"/>
    </row>
    <row r="742">
      <c r="A742" s="5">
        <v>42378.0</v>
      </c>
      <c r="B742" s="6">
        <v>2016.0</v>
      </c>
      <c r="C742" s="7" t="s">
        <v>30</v>
      </c>
      <c r="D742" s="7" t="s">
        <v>47</v>
      </c>
      <c r="E742" s="7" t="s">
        <v>39</v>
      </c>
      <c r="F742" s="6">
        <v>3274.0</v>
      </c>
      <c r="G742" s="6">
        <v>134629.66</v>
      </c>
      <c r="H742" s="6">
        <v>41.12</v>
      </c>
      <c r="I742" s="8">
        <v>38.16843921808186</v>
      </c>
      <c r="J742" s="6">
        <v>124963.47</v>
      </c>
      <c r="K742" s="6">
        <v>9666.19</v>
      </c>
      <c r="L742" s="6">
        <v>7.18</v>
      </c>
      <c r="M742" s="6">
        <f t="shared" si="1"/>
        <v>2.952409896</v>
      </c>
      <c r="N742" s="6">
        <v>7.18</v>
      </c>
      <c r="O742" s="7" t="s">
        <v>45</v>
      </c>
      <c r="P742" s="7" t="s">
        <v>46</v>
      </c>
      <c r="Q742" s="7" t="s">
        <v>25</v>
      </c>
      <c r="R742" s="10">
        <v>7570.66</v>
      </c>
      <c r="S742" s="10">
        <v>2095.53</v>
      </c>
      <c r="T742" s="9" t="s">
        <v>33</v>
      </c>
      <c r="U742" s="9"/>
      <c r="V742" s="9"/>
      <c r="W742" s="9"/>
      <c r="X742" s="9"/>
      <c r="Y742" s="9"/>
      <c r="Z742" s="9"/>
      <c r="AA742" s="9"/>
      <c r="AB742" s="9"/>
    </row>
    <row r="743">
      <c r="A743" s="5">
        <v>42379.0</v>
      </c>
      <c r="B743" s="6">
        <v>2016.0</v>
      </c>
      <c r="C743" s="7" t="s">
        <v>30</v>
      </c>
      <c r="D743" s="7" t="s">
        <v>48</v>
      </c>
      <c r="E743" s="7" t="s">
        <v>41</v>
      </c>
      <c r="F743" s="6">
        <v>2207.0</v>
      </c>
      <c r="G743" s="6">
        <v>90773.65</v>
      </c>
      <c r="H743" s="6">
        <v>41.13</v>
      </c>
      <c r="I743" s="8">
        <v>38.19632532850022</v>
      </c>
      <c r="J743" s="6">
        <v>84299.29</v>
      </c>
      <c r="K743" s="6">
        <v>6474.36</v>
      </c>
      <c r="L743" s="6">
        <v>7.13</v>
      </c>
      <c r="M743" s="6">
        <f t="shared" si="1"/>
        <v>2.933556865</v>
      </c>
      <c r="N743" s="6">
        <v>7.13</v>
      </c>
      <c r="O743" s="7" t="s">
        <v>45</v>
      </c>
      <c r="P743" s="7" t="s">
        <v>46</v>
      </c>
      <c r="Q743" s="7" t="s">
        <v>25</v>
      </c>
      <c r="R743" s="10">
        <v>9666.19</v>
      </c>
      <c r="S743" s="10">
        <v>-3191.83</v>
      </c>
      <c r="T743" s="9" t="s">
        <v>29</v>
      </c>
      <c r="U743" s="9"/>
      <c r="V743" s="9"/>
      <c r="W743" s="9"/>
      <c r="X743" s="9"/>
      <c r="Y743" s="9"/>
      <c r="Z743" s="9"/>
      <c r="AA743" s="9"/>
      <c r="AB743" s="9"/>
    </row>
    <row r="744">
      <c r="A744" s="5">
        <v>42380.0</v>
      </c>
      <c r="B744" s="6">
        <v>2016.0</v>
      </c>
      <c r="C744" s="7" t="s">
        <v>30</v>
      </c>
      <c r="D744" s="7" t="s">
        <v>49</v>
      </c>
      <c r="E744" s="7" t="s">
        <v>22</v>
      </c>
      <c r="F744" s="6">
        <v>2949.0</v>
      </c>
      <c r="G744" s="6">
        <v>121373.07</v>
      </c>
      <c r="H744" s="6">
        <v>41.16</v>
      </c>
      <c r="I744" s="8">
        <v>38.165625635808745</v>
      </c>
      <c r="J744" s="6">
        <v>112550.43</v>
      </c>
      <c r="K744" s="6">
        <v>8822.64</v>
      </c>
      <c r="L744" s="6">
        <v>7.27</v>
      </c>
      <c r="M744" s="6">
        <f t="shared" si="1"/>
        <v>2.991739573</v>
      </c>
      <c r="N744" s="6">
        <v>7.27</v>
      </c>
      <c r="O744" s="7" t="s">
        <v>45</v>
      </c>
      <c r="P744" s="7" t="s">
        <v>46</v>
      </c>
      <c r="Q744" s="7" t="s">
        <v>25</v>
      </c>
      <c r="R744" s="10">
        <v>6474.36</v>
      </c>
      <c r="S744" s="10">
        <v>2348.27</v>
      </c>
      <c r="T744" s="9" t="s">
        <v>33</v>
      </c>
      <c r="U744" s="9"/>
      <c r="V744" s="9"/>
      <c r="W744" s="9"/>
      <c r="X744" s="9"/>
      <c r="Y744" s="9"/>
      <c r="Z744" s="9"/>
      <c r="AA744" s="9"/>
      <c r="AB744" s="9"/>
    </row>
    <row r="745">
      <c r="A745" s="5">
        <v>42381.0</v>
      </c>
      <c r="B745" s="6">
        <v>2016.0</v>
      </c>
      <c r="C745" s="7" t="s">
        <v>30</v>
      </c>
      <c r="D745" s="7" t="s">
        <v>50</v>
      </c>
      <c r="E745" s="7" t="s">
        <v>28</v>
      </c>
      <c r="F745" s="6">
        <v>2417.0</v>
      </c>
      <c r="G745" s="6">
        <v>99445.56</v>
      </c>
      <c r="H745" s="6">
        <v>41.14</v>
      </c>
      <c r="I745" s="8">
        <v>38.15743483657427</v>
      </c>
      <c r="J745" s="6">
        <v>92226.52</v>
      </c>
      <c r="K745" s="6">
        <v>7219.04</v>
      </c>
      <c r="L745" s="6">
        <v>7.26</v>
      </c>
      <c r="M745" s="6">
        <f t="shared" si="1"/>
        <v>2.986776996</v>
      </c>
      <c r="N745" s="6">
        <v>7.26</v>
      </c>
      <c r="O745" s="7" t="s">
        <v>45</v>
      </c>
      <c r="P745" s="7" t="s">
        <v>46</v>
      </c>
      <c r="Q745" s="7" t="s">
        <v>25</v>
      </c>
      <c r="R745" s="10">
        <v>8822.64</v>
      </c>
      <c r="S745" s="10">
        <v>-1603.6</v>
      </c>
      <c r="T745" s="9" t="s">
        <v>29</v>
      </c>
      <c r="U745" s="9"/>
      <c r="V745" s="9"/>
      <c r="W745" s="9"/>
      <c r="X745" s="9"/>
      <c r="Y745" s="9"/>
      <c r="Z745" s="9"/>
      <c r="AA745" s="9"/>
      <c r="AB745" s="9"/>
    </row>
    <row r="746">
      <c r="A746" s="5">
        <v>42382.0</v>
      </c>
      <c r="B746" s="6">
        <v>2016.0</v>
      </c>
      <c r="C746" s="7" t="s">
        <v>30</v>
      </c>
      <c r="D746" s="7" t="s">
        <v>51</v>
      </c>
      <c r="E746" s="7" t="s">
        <v>32</v>
      </c>
      <c r="F746" s="6">
        <v>1644.0</v>
      </c>
      <c r="G746" s="6">
        <v>67587.55</v>
      </c>
      <c r="H746" s="6">
        <v>41.11</v>
      </c>
      <c r="I746" s="8">
        <v>38.175401459854015</v>
      </c>
      <c r="J746" s="6">
        <v>62760.36</v>
      </c>
      <c r="K746" s="6">
        <v>4827.19</v>
      </c>
      <c r="L746" s="6">
        <v>7.14</v>
      </c>
      <c r="M746" s="6">
        <f t="shared" si="1"/>
        <v>2.936246959</v>
      </c>
      <c r="N746" s="6">
        <v>7.14</v>
      </c>
      <c r="O746" s="7" t="s">
        <v>45</v>
      </c>
      <c r="P746" s="7" t="s">
        <v>46</v>
      </c>
      <c r="Q746" s="7" t="s">
        <v>25</v>
      </c>
      <c r="R746" s="10">
        <v>7219.04</v>
      </c>
      <c r="S746" s="10">
        <v>-2391.85</v>
      </c>
      <c r="T746" s="9" t="s">
        <v>29</v>
      </c>
      <c r="U746" s="9"/>
      <c r="V746" s="9"/>
      <c r="W746" s="9"/>
      <c r="X746" s="9"/>
      <c r="Y746" s="9"/>
      <c r="Z746" s="9"/>
      <c r="AA746" s="9"/>
      <c r="AB746" s="9"/>
    </row>
    <row r="747">
      <c r="A747" s="5">
        <v>42383.0</v>
      </c>
      <c r="B747" s="6">
        <v>2016.0</v>
      </c>
      <c r="C747" s="7" t="s">
        <v>30</v>
      </c>
      <c r="D747" s="7" t="s">
        <v>52</v>
      </c>
      <c r="E747" s="7" t="s">
        <v>35</v>
      </c>
      <c r="F747" s="6">
        <v>1499.0</v>
      </c>
      <c r="G747" s="6">
        <v>61685.94</v>
      </c>
      <c r="H747" s="6">
        <v>41.15</v>
      </c>
      <c r="I747" s="8">
        <v>38.15306204136091</v>
      </c>
      <c r="J747" s="6">
        <v>57191.44</v>
      </c>
      <c r="K747" s="6">
        <v>4494.5</v>
      </c>
      <c r="L747" s="6">
        <v>7.29</v>
      </c>
      <c r="M747" s="6">
        <f t="shared" si="1"/>
        <v>2.998332221</v>
      </c>
      <c r="N747" s="6">
        <v>7.29</v>
      </c>
      <c r="O747" s="7" t="s">
        <v>45</v>
      </c>
      <c r="P747" s="7" t="s">
        <v>46</v>
      </c>
      <c r="Q747" s="7" t="s">
        <v>25</v>
      </c>
      <c r="R747" s="10">
        <v>4827.19</v>
      </c>
      <c r="S747" s="10">
        <v>-332.69</v>
      </c>
      <c r="T747" s="9" t="s">
        <v>29</v>
      </c>
      <c r="U747" s="9"/>
      <c r="V747" s="9"/>
      <c r="W747" s="9"/>
      <c r="X747" s="9"/>
      <c r="Y747" s="9"/>
      <c r="Z747" s="9"/>
      <c r="AA747" s="9"/>
      <c r="AB747" s="9"/>
    </row>
    <row r="748">
      <c r="A748" s="5">
        <v>42384.0</v>
      </c>
      <c r="B748" s="6">
        <v>2016.0</v>
      </c>
      <c r="C748" s="7" t="s">
        <v>30</v>
      </c>
      <c r="D748" s="7" t="s">
        <v>53</v>
      </c>
      <c r="E748" s="7" t="s">
        <v>37</v>
      </c>
      <c r="F748" s="6">
        <v>3648.0</v>
      </c>
      <c r="G748" s="6">
        <v>150006.93</v>
      </c>
      <c r="H748" s="6">
        <v>41.12</v>
      </c>
      <c r="I748" s="8">
        <v>38.17020285087719</v>
      </c>
      <c r="J748" s="6">
        <v>139244.9</v>
      </c>
      <c r="K748" s="6">
        <v>10762.03</v>
      </c>
      <c r="L748" s="6">
        <v>7.17</v>
      </c>
      <c r="M748" s="6">
        <f t="shared" si="1"/>
        <v>2.950117873</v>
      </c>
      <c r="N748" s="6">
        <v>7.17</v>
      </c>
      <c r="O748" s="7" t="s">
        <v>45</v>
      </c>
      <c r="P748" s="7" t="s">
        <v>46</v>
      </c>
      <c r="Q748" s="7" t="s">
        <v>25</v>
      </c>
      <c r="R748" s="10">
        <v>4494.5</v>
      </c>
      <c r="S748" s="10">
        <v>6267.54</v>
      </c>
      <c r="T748" s="9" t="s">
        <v>33</v>
      </c>
      <c r="U748" s="9"/>
      <c r="V748" s="9"/>
      <c r="W748" s="9"/>
      <c r="X748" s="9"/>
      <c r="Y748" s="9"/>
      <c r="Z748" s="9"/>
      <c r="AA748" s="9"/>
      <c r="AB748" s="9"/>
    </row>
    <row r="749">
      <c r="A749" s="5">
        <v>42385.0</v>
      </c>
      <c r="B749" s="6">
        <v>2016.0</v>
      </c>
      <c r="C749" s="7" t="s">
        <v>30</v>
      </c>
      <c r="D749" s="7" t="s">
        <v>54</v>
      </c>
      <c r="E749" s="7" t="s">
        <v>39</v>
      </c>
      <c r="F749" s="6">
        <v>4652.0</v>
      </c>
      <c r="G749" s="6">
        <v>191287.35</v>
      </c>
      <c r="H749" s="6">
        <v>41.12</v>
      </c>
      <c r="I749" s="8">
        <v>38.17224634565778</v>
      </c>
      <c r="J749" s="6">
        <v>177577.29</v>
      </c>
      <c r="K749" s="6">
        <v>13710.07</v>
      </c>
      <c r="L749" s="6">
        <v>7.17</v>
      </c>
      <c r="M749" s="6">
        <f t="shared" si="1"/>
        <v>2.947134566</v>
      </c>
      <c r="N749" s="6">
        <v>7.17</v>
      </c>
      <c r="O749" s="7" t="s">
        <v>45</v>
      </c>
      <c r="P749" s="7" t="s">
        <v>46</v>
      </c>
      <c r="Q749" s="7" t="s">
        <v>25</v>
      </c>
      <c r="R749" s="10">
        <v>10762.03</v>
      </c>
      <c r="S749" s="10">
        <v>2948.03</v>
      </c>
      <c r="T749" s="9" t="s">
        <v>33</v>
      </c>
      <c r="U749" s="9"/>
      <c r="V749" s="9"/>
      <c r="W749" s="9"/>
      <c r="X749" s="9"/>
      <c r="Y749" s="9"/>
      <c r="Z749" s="9"/>
      <c r="AA749" s="9"/>
      <c r="AB749" s="9"/>
    </row>
    <row r="750">
      <c r="A750" s="5">
        <v>42386.0</v>
      </c>
      <c r="B750" s="6">
        <v>2016.0</v>
      </c>
      <c r="C750" s="7" t="s">
        <v>30</v>
      </c>
      <c r="D750" s="7" t="s">
        <v>55</v>
      </c>
      <c r="E750" s="7" t="s">
        <v>41</v>
      </c>
      <c r="F750" s="6">
        <v>2252.0</v>
      </c>
      <c r="G750" s="6">
        <v>92595.46</v>
      </c>
      <c r="H750" s="6">
        <v>41.12</v>
      </c>
      <c r="I750" s="8">
        <v>38.19635435168739</v>
      </c>
      <c r="J750" s="6">
        <v>86018.19</v>
      </c>
      <c r="K750" s="6">
        <v>6577.27</v>
      </c>
      <c r="L750" s="6">
        <v>7.1</v>
      </c>
      <c r="M750" s="6">
        <f t="shared" si="1"/>
        <v>2.920634991</v>
      </c>
      <c r="N750" s="6">
        <v>7.1</v>
      </c>
      <c r="O750" s="7" t="s">
        <v>45</v>
      </c>
      <c r="P750" s="7" t="s">
        <v>46</v>
      </c>
      <c r="Q750" s="7" t="s">
        <v>25</v>
      </c>
      <c r="R750" s="10">
        <v>13710.07</v>
      </c>
      <c r="S750" s="10">
        <v>-7132.8</v>
      </c>
      <c r="T750" s="9" t="s">
        <v>29</v>
      </c>
      <c r="U750" s="9"/>
      <c r="V750" s="9"/>
      <c r="W750" s="9"/>
      <c r="X750" s="9"/>
      <c r="Y750" s="9"/>
      <c r="Z750" s="9"/>
      <c r="AA750" s="9"/>
      <c r="AB750" s="9"/>
    </row>
    <row r="751">
      <c r="A751" s="5">
        <v>42387.0</v>
      </c>
      <c r="B751" s="6">
        <v>2016.0</v>
      </c>
      <c r="C751" s="7" t="s">
        <v>30</v>
      </c>
      <c r="D751" s="7" t="s">
        <v>56</v>
      </c>
      <c r="E751" s="7" t="s">
        <v>22</v>
      </c>
      <c r="F751" s="6">
        <v>2357.0</v>
      </c>
      <c r="G751" s="6">
        <v>96947.05</v>
      </c>
      <c r="H751" s="6">
        <v>41.13</v>
      </c>
      <c r="I751" s="8">
        <v>38.167738650827324</v>
      </c>
      <c r="J751" s="6">
        <v>89961.36</v>
      </c>
      <c r="K751" s="6">
        <v>6985.69</v>
      </c>
      <c r="L751" s="6">
        <v>7.21</v>
      </c>
      <c r="M751" s="6">
        <f t="shared" si="1"/>
        <v>2.963805685</v>
      </c>
      <c r="N751" s="6">
        <v>7.21</v>
      </c>
      <c r="O751" s="7" t="s">
        <v>45</v>
      </c>
      <c r="P751" s="7" t="s">
        <v>46</v>
      </c>
      <c r="Q751" s="7" t="s">
        <v>25</v>
      </c>
      <c r="R751" s="10">
        <v>6577.27</v>
      </c>
      <c r="S751" s="10">
        <v>408.42</v>
      </c>
      <c r="T751" s="9" t="s">
        <v>33</v>
      </c>
      <c r="U751" s="9"/>
      <c r="V751" s="9"/>
      <c r="W751" s="9"/>
      <c r="X751" s="9"/>
      <c r="Y751" s="9"/>
      <c r="Z751" s="9"/>
      <c r="AA751" s="9"/>
      <c r="AB751" s="9"/>
    </row>
    <row r="752">
      <c r="A752" s="5">
        <v>42388.0</v>
      </c>
      <c r="B752" s="6">
        <v>2016.0</v>
      </c>
      <c r="C752" s="7" t="s">
        <v>30</v>
      </c>
      <c r="D752" s="7" t="s">
        <v>57</v>
      </c>
      <c r="E752" s="7" t="s">
        <v>28</v>
      </c>
      <c r="F752" s="6">
        <v>1715.0</v>
      </c>
      <c r="G752" s="6">
        <v>70512.89</v>
      </c>
      <c r="H752" s="6">
        <v>41.12</v>
      </c>
      <c r="I752" s="8">
        <v>38.1651778425656</v>
      </c>
      <c r="J752" s="6">
        <v>65453.28</v>
      </c>
      <c r="K752" s="6">
        <v>5059.62</v>
      </c>
      <c r="L752" s="6">
        <v>7.18</v>
      </c>
      <c r="M752" s="6">
        <f t="shared" si="1"/>
        <v>2.950215743</v>
      </c>
      <c r="N752" s="6">
        <v>7.18</v>
      </c>
      <c r="O752" s="7" t="s">
        <v>45</v>
      </c>
      <c r="P752" s="7" t="s">
        <v>46</v>
      </c>
      <c r="Q752" s="7" t="s">
        <v>25</v>
      </c>
      <c r="R752" s="10">
        <v>6985.69</v>
      </c>
      <c r="S752" s="10">
        <v>-1926.08</v>
      </c>
      <c r="T752" s="9" t="s">
        <v>29</v>
      </c>
      <c r="U752" s="9"/>
      <c r="V752" s="9"/>
      <c r="W752" s="9"/>
      <c r="X752" s="9"/>
      <c r="Y752" s="9"/>
      <c r="Z752" s="9"/>
      <c r="AA752" s="9"/>
      <c r="AB752" s="9"/>
    </row>
    <row r="753">
      <c r="A753" s="5">
        <v>42389.0</v>
      </c>
      <c r="B753" s="6">
        <v>2016.0</v>
      </c>
      <c r="C753" s="7" t="s">
        <v>30</v>
      </c>
      <c r="D753" s="7" t="s">
        <v>58</v>
      </c>
      <c r="E753" s="7" t="s">
        <v>32</v>
      </c>
      <c r="F753" s="6">
        <v>4776.0</v>
      </c>
      <c r="G753" s="6">
        <v>159590.49</v>
      </c>
      <c r="H753" s="6">
        <v>33.42</v>
      </c>
      <c r="I753" s="8">
        <v>38.18072445561139</v>
      </c>
      <c r="J753" s="6">
        <v>182351.14</v>
      </c>
      <c r="K753" s="6">
        <v>-22760.65</v>
      </c>
      <c r="L753" s="6">
        <v>-14.26</v>
      </c>
      <c r="M753" s="6">
        <f t="shared" si="1"/>
        <v>-4.765630235</v>
      </c>
      <c r="N753" s="6">
        <v>-14.26</v>
      </c>
      <c r="O753" s="7" t="s">
        <v>45</v>
      </c>
      <c r="P753" s="7" t="s">
        <v>46</v>
      </c>
      <c r="Q753" s="7" t="s">
        <v>25</v>
      </c>
      <c r="R753" s="10">
        <v>5059.62</v>
      </c>
      <c r="S753" s="10">
        <v>-27820.27</v>
      </c>
      <c r="T753" s="9" t="s">
        <v>29</v>
      </c>
      <c r="U753" s="9"/>
      <c r="V753" s="9"/>
      <c r="W753" s="9"/>
      <c r="X753" s="9"/>
      <c r="Y753" s="9"/>
      <c r="Z753" s="9"/>
      <c r="AA753" s="9"/>
      <c r="AB753" s="9"/>
    </row>
    <row r="754">
      <c r="A754" s="5">
        <v>42390.0</v>
      </c>
      <c r="B754" s="6">
        <v>2016.0</v>
      </c>
      <c r="C754" s="7" t="s">
        <v>30</v>
      </c>
      <c r="D754" s="7" t="s">
        <v>59</v>
      </c>
      <c r="E754" s="7" t="s">
        <v>35</v>
      </c>
      <c r="F754" s="6">
        <v>1628.0</v>
      </c>
      <c r="G754" s="6">
        <v>67046.27</v>
      </c>
      <c r="H754" s="6">
        <v>41.18</v>
      </c>
      <c r="I754" s="8">
        <v>38.018587223587225</v>
      </c>
      <c r="J754" s="6">
        <v>61894.26</v>
      </c>
      <c r="K754" s="6">
        <v>5152.01</v>
      </c>
      <c r="L754" s="6">
        <v>7.68</v>
      </c>
      <c r="M754" s="6">
        <f t="shared" si="1"/>
        <v>3.164625307</v>
      </c>
      <c r="N754" s="6">
        <v>7.68</v>
      </c>
      <c r="O754" s="7" t="s">
        <v>45</v>
      </c>
      <c r="P754" s="7" t="s">
        <v>46</v>
      </c>
      <c r="Q754" s="7" t="s">
        <v>25</v>
      </c>
      <c r="R754" s="10">
        <v>-22760.65</v>
      </c>
      <c r="S754" s="10">
        <v>27912.66</v>
      </c>
      <c r="T754" s="9" t="s">
        <v>33</v>
      </c>
      <c r="U754" s="9"/>
      <c r="V754" s="9"/>
      <c r="W754" s="9"/>
      <c r="X754" s="9"/>
      <c r="Y754" s="9"/>
      <c r="Z754" s="9"/>
      <c r="AA754" s="9"/>
      <c r="AB754" s="9"/>
    </row>
    <row r="755">
      <c r="A755" s="5">
        <v>42391.0</v>
      </c>
      <c r="B755" s="6">
        <v>2016.0</v>
      </c>
      <c r="C755" s="7" t="s">
        <v>30</v>
      </c>
      <c r="D755" s="7" t="s">
        <v>60</v>
      </c>
      <c r="E755" s="7" t="s">
        <v>37</v>
      </c>
      <c r="F755" s="6">
        <v>7806.0</v>
      </c>
      <c r="G755" s="6">
        <v>266949.24</v>
      </c>
      <c r="H755" s="6">
        <v>34.2</v>
      </c>
      <c r="I755" s="8">
        <v>37.704705354855236</v>
      </c>
      <c r="J755" s="6">
        <v>294322.93</v>
      </c>
      <c r="K755" s="6">
        <v>-27373.69</v>
      </c>
      <c r="L755" s="6">
        <v>-10.25</v>
      </c>
      <c r="M755" s="6">
        <f t="shared" si="1"/>
        <v>-3.506749936</v>
      </c>
      <c r="N755" s="6">
        <v>-10.25</v>
      </c>
      <c r="O755" s="7" t="s">
        <v>45</v>
      </c>
      <c r="P755" s="7" t="s">
        <v>46</v>
      </c>
      <c r="Q755" s="7" t="s">
        <v>25</v>
      </c>
      <c r="R755" s="10">
        <v>5152.01</v>
      </c>
      <c r="S755" s="10">
        <v>-32525.7</v>
      </c>
      <c r="T755" s="9" t="s">
        <v>29</v>
      </c>
      <c r="U755" s="9"/>
      <c r="V755" s="9"/>
      <c r="W755" s="9"/>
      <c r="X755" s="9"/>
      <c r="Y755" s="9"/>
      <c r="Z755" s="9"/>
      <c r="AA755" s="9"/>
      <c r="AB755" s="9"/>
    </row>
    <row r="756">
      <c r="A756" s="5">
        <v>42392.0</v>
      </c>
      <c r="B756" s="6">
        <v>2016.0</v>
      </c>
      <c r="C756" s="7" t="s">
        <v>30</v>
      </c>
      <c r="D756" s="7" t="s">
        <v>61</v>
      </c>
      <c r="E756" s="7" t="s">
        <v>39</v>
      </c>
      <c r="F756" s="6">
        <v>9210.0</v>
      </c>
      <c r="G756" s="6">
        <v>315272.22</v>
      </c>
      <c r="H756" s="6">
        <v>34.23</v>
      </c>
      <c r="I756" s="8">
        <v>37.57796634093377</v>
      </c>
      <c r="J756" s="6">
        <v>346093.07</v>
      </c>
      <c r="K756" s="6">
        <v>-30820.84</v>
      </c>
      <c r="L756" s="6">
        <v>-9.78</v>
      </c>
      <c r="M756" s="6">
        <f t="shared" si="1"/>
        <v>-3.346453855</v>
      </c>
      <c r="N756" s="6">
        <v>-9.78</v>
      </c>
      <c r="O756" s="7" t="s">
        <v>45</v>
      </c>
      <c r="P756" s="7" t="s">
        <v>46</v>
      </c>
      <c r="Q756" s="7" t="s">
        <v>25</v>
      </c>
      <c r="R756" s="10">
        <v>-27373.69</v>
      </c>
      <c r="S756" s="10">
        <v>-3447.15</v>
      </c>
      <c r="T756" s="9" t="s">
        <v>29</v>
      </c>
      <c r="U756" s="9"/>
      <c r="V756" s="9"/>
      <c r="W756" s="9"/>
      <c r="X756" s="9"/>
      <c r="Y756" s="9"/>
      <c r="Z756" s="9"/>
      <c r="AA756" s="9"/>
      <c r="AB756" s="9"/>
    </row>
    <row r="757">
      <c r="A757" s="5">
        <v>42393.0</v>
      </c>
      <c r="B757" s="6">
        <v>2016.0</v>
      </c>
      <c r="C757" s="7" t="s">
        <v>30</v>
      </c>
      <c r="D757" s="7" t="s">
        <v>62</v>
      </c>
      <c r="E757" s="7" t="s">
        <v>41</v>
      </c>
      <c r="F757" s="6">
        <v>4351.0</v>
      </c>
      <c r="G757" s="6">
        <v>149138.92</v>
      </c>
      <c r="H757" s="6">
        <v>34.28</v>
      </c>
      <c r="I757" s="8">
        <v>37.57888071707653</v>
      </c>
      <c r="J757" s="6">
        <v>163505.71</v>
      </c>
      <c r="K757" s="6">
        <v>-14366.79</v>
      </c>
      <c r="L757" s="6">
        <v>-9.63</v>
      </c>
      <c r="M757" s="6">
        <f t="shared" si="1"/>
        <v>-3.301951276</v>
      </c>
      <c r="N757" s="6">
        <v>-9.63</v>
      </c>
      <c r="O757" s="7" t="s">
        <v>45</v>
      </c>
      <c r="P757" s="7" t="s">
        <v>46</v>
      </c>
      <c r="Q757" s="7" t="s">
        <v>25</v>
      </c>
      <c r="R757" s="10">
        <v>-30820.84</v>
      </c>
      <c r="S757" s="10">
        <v>16454.05</v>
      </c>
      <c r="T757" s="9" t="s">
        <v>33</v>
      </c>
      <c r="U757" s="9"/>
      <c r="V757" s="9"/>
      <c r="W757" s="9"/>
      <c r="X757" s="9"/>
      <c r="Y757" s="9"/>
      <c r="Z757" s="9"/>
      <c r="AA757" s="9"/>
      <c r="AB757" s="9"/>
    </row>
    <row r="758">
      <c r="A758" s="5">
        <v>42394.0</v>
      </c>
      <c r="B758" s="6">
        <v>2016.0</v>
      </c>
      <c r="C758" s="7" t="s">
        <v>30</v>
      </c>
      <c r="D758" s="7" t="s">
        <v>63</v>
      </c>
      <c r="E758" s="7" t="s">
        <v>22</v>
      </c>
      <c r="F758" s="6">
        <v>6278.0</v>
      </c>
      <c r="G758" s="6">
        <v>215171.04</v>
      </c>
      <c r="H758" s="6">
        <v>34.27</v>
      </c>
      <c r="I758" s="8">
        <v>37.37202930869704</v>
      </c>
      <c r="J758" s="6">
        <v>234621.6</v>
      </c>
      <c r="K758" s="6">
        <v>-19450.56</v>
      </c>
      <c r="L758" s="6">
        <v>-9.04</v>
      </c>
      <c r="M758" s="6">
        <f t="shared" si="1"/>
        <v>-3.098209621</v>
      </c>
      <c r="N758" s="6">
        <v>-9.04</v>
      </c>
      <c r="O758" s="7" t="s">
        <v>45</v>
      </c>
      <c r="P758" s="7" t="s">
        <v>46</v>
      </c>
      <c r="Q758" s="7" t="s">
        <v>25</v>
      </c>
      <c r="R758" s="10">
        <v>-14366.79</v>
      </c>
      <c r="S758" s="10">
        <v>-5083.77</v>
      </c>
      <c r="T758" s="9" t="s">
        <v>29</v>
      </c>
      <c r="U758" s="9"/>
      <c r="V758" s="9"/>
      <c r="W758" s="9"/>
      <c r="X758" s="9"/>
      <c r="Y758" s="9"/>
      <c r="Z758" s="9"/>
      <c r="AA758" s="9"/>
      <c r="AB758" s="9"/>
    </row>
    <row r="759">
      <c r="A759" s="5">
        <v>42395.0</v>
      </c>
      <c r="B759" s="6">
        <v>2016.0</v>
      </c>
      <c r="C759" s="7" t="s">
        <v>30</v>
      </c>
      <c r="D759" s="7" t="s">
        <v>64</v>
      </c>
      <c r="E759" s="7" t="s">
        <v>28</v>
      </c>
      <c r="F759" s="6">
        <v>5992.0</v>
      </c>
      <c r="G759" s="6">
        <v>205197.9</v>
      </c>
      <c r="H759" s="6">
        <v>34.25</v>
      </c>
      <c r="I759" s="8">
        <v>37.03798064085447</v>
      </c>
      <c r="J759" s="6">
        <v>221931.58</v>
      </c>
      <c r="K759" s="6">
        <v>-16733.68</v>
      </c>
      <c r="L759" s="6">
        <v>-8.15</v>
      </c>
      <c r="M759" s="6">
        <f t="shared" si="1"/>
        <v>-2.792670227</v>
      </c>
      <c r="N759" s="6">
        <v>-8.15</v>
      </c>
      <c r="O759" s="7" t="s">
        <v>45</v>
      </c>
      <c r="P759" s="7" t="s">
        <v>46</v>
      </c>
      <c r="Q759" s="7" t="s">
        <v>25</v>
      </c>
      <c r="R759" s="10">
        <v>-19450.56</v>
      </c>
      <c r="S759" s="10">
        <v>2716.88</v>
      </c>
      <c r="T759" s="9" t="s">
        <v>33</v>
      </c>
      <c r="U759" s="9"/>
      <c r="V759" s="9"/>
      <c r="W759" s="9"/>
      <c r="X759" s="9"/>
      <c r="Y759" s="9"/>
      <c r="Z759" s="9"/>
      <c r="AA759" s="9"/>
      <c r="AB759" s="9"/>
    </row>
    <row r="760">
      <c r="A760" s="5">
        <v>42396.0</v>
      </c>
      <c r="B760" s="6">
        <v>2016.0</v>
      </c>
      <c r="C760" s="7" t="s">
        <v>30</v>
      </c>
      <c r="D760" s="7" t="s">
        <v>65</v>
      </c>
      <c r="E760" s="7" t="s">
        <v>32</v>
      </c>
      <c r="F760" s="6">
        <v>6265.0</v>
      </c>
      <c r="G760" s="6">
        <v>214452.25</v>
      </c>
      <c r="H760" s="6">
        <v>34.23</v>
      </c>
      <c r="I760" s="8">
        <v>36.98806544293695</v>
      </c>
      <c r="J760" s="6">
        <v>231730.23</v>
      </c>
      <c r="K760" s="6">
        <v>-17277.98</v>
      </c>
      <c r="L760" s="6">
        <v>-8.06</v>
      </c>
      <c r="M760" s="6">
        <f t="shared" si="1"/>
        <v>-2.757857941</v>
      </c>
      <c r="N760" s="6">
        <v>-8.06</v>
      </c>
      <c r="O760" s="7" t="s">
        <v>45</v>
      </c>
      <c r="P760" s="7" t="s">
        <v>46</v>
      </c>
      <c r="Q760" s="7" t="s">
        <v>25</v>
      </c>
      <c r="R760" s="10">
        <v>-16733.68</v>
      </c>
      <c r="S760" s="10">
        <v>-544.3</v>
      </c>
      <c r="T760" s="9" t="s">
        <v>29</v>
      </c>
      <c r="U760" s="9"/>
      <c r="V760" s="9"/>
      <c r="W760" s="9"/>
      <c r="X760" s="9"/>
      <c r="Y760" s="9"/>
      <c r="Z760" s="9"/>
      <c r="AA760" s="9"/>
      <c r="AB760" s="9"/>
    </row>
    <row r="761">
      <c r="A761" s="5">
        <v>42397.0</v>
      </c>
      <c r="B761" s="6">
        <v>2016.0</v>
      </c>
      <c r="C761" s="7" t="s">
        <v>30</v>
      </c>
      <c r="D761" s="7" t="s">
        <v>66</v>
      </c>
      <c r="E761" s="7" t="s">
        <v>35</v>
      </c>
      <c r="F761" s="6">
        <v>5723.0</v>
      </c>
      <c r="G761" s="6">
        <v>195767.97</v>
      </c>
      <c r="H761" s="6">
        <v>34.21</v>
      </c>
      <c r="I761" s="8">
        <v>36.805844836624146</v>
      </c>
      <c r="J761" s="6">
        <v>210639.85</v>
      </c>
      <c r="K761" s="6">
        <v>-14871.87</v>
      </c>
      <c r="L761" s="6">
        <v>-7.6</v>
      </c>
      <c r="M761" s="6">
        <f t="shared" si="1"/>
        <v>-2.598614363</v>
      </c>
      <c r="N761" s="6">
        <v>-7.6</v>
      </c>
      <c r="O761" s="7" t="s">
        <v>45</v>
      </c>
      <c r="P761" s="7" t="s">
        <v>46</v>
      </c>
      <c r="Q761" s="7" t="s">
        <v>25</v>
      </c>
      <c r="R761" s="10">
        <v>-17277.98</v>
      </c>
      <c r="S761" s="10">
        <v>2406.11</v>
      </c>
      <c r="T761" s="9" t="s">
        <v>33</v>
      </c>
      <c r="U761" s="9"/>
      <c r="V761" s="9"/>
      <c r="W761" s="9"/>
      <c r="X761" s="9"/>
      <c r="Y761" s="9"/>
      <c r="Z761" s="9"/>
      <c r="AA761" s="9"/>
      <c r="AB761" s="9"/>
    </row>
    <row r="762">
      <c r="A762" s="5">
        <v>42398.0</v>
      </c>
      <c r="B762" s="6">
        <v>2016.0</v>
      </c>
      <c r="C762" s="7" t="s">
        <v>30</v>
      </c>
      <c r="D762" s="7" t="s">
        <v>67</v>
      </c>
      <c r="E762" s="7" t="s">
        <v>37</v>
      </c>
      <c r="F762" s="6">
        <v>11900.0</v>
      </c>
      <c r="G762" s="6">
        <v>397984.33</v>
      </c>
      <c r="H762" s="6">
        <v>33.44</v>
      </c>
      <c r="I762" s="8">
        <v>36.73940588235294</v>
      </c>
      <c r="J762" s="6">
        <v>437198.93</v>
      </c>
      <c r="K762" s="6">
        <v>-39214.6</v>
      </c>
      <c r="L762" s="6">
        <v>-9.85</v>
      </c>
      <c r="M762" s="6">
        <f t="shared" si="1"/>
        <v>-3.295344538</v>
      </c>
      <c r="N762" s="6">
        <v>-9.85</v>
      </c>
      <c r="O762" s="7" t="s">
        <v>45</v>
      </c>
      <c r="P762" s="7" t="s">
        <v>46</v>
      </c>
      <c r="Q762" s="7" t="s">
        <v>25</v>
      </c>
      <c r="R762" s="10">
        <v>-14871.87</v>
      </c>
      <c r="S762" s="10">
        <v>-24342.73</v>
      </c>
      <c r="T762" s="9" t="s">
        <v>29</v>
      </c>
      <c r="U762" s="9"/>
      <c r="V762" s="9"/>
      <c r="W762" s="9"/>
      <c r="X762" s="9"/>
      <c r="Y762" s="9"/>
      <c r="Z762" s="9"/>
      <c r="AA762" s="9"/>
      <c r="AB762" s="9"/>
    </row>
    <row r="763">
      <c r="A763" s="5">
        <v>42399.0</v>
      </c>
      <c r="B763" s="6">
        <v>2016.0</v>
      </c>
      <c r="C763" s="7" t="s">
        <v>30</v>
      </c>
      <c r="D763" s="7" t="s">
        <v>21</v>
      </c>
      <c r="E763" s="7" t="s">
        <v>39</v>
      </c>
      <c r="F763" s="6">
        <v>15345.0</v>
      </c>
      <c r="G763" s="6">
        <v>512603.1</v>
      </c>
      <c r="H763" s="6">
        <v>33.41</v>
      </c>
      <c r="I763" s="8">
        <v>36.6159797979798</v>
      </c>
      <c r="J763" s="6">
        <v>561872.21</v>
      </c>
      <c r="K763" s="6">
        <v>-49269.1</v>
      </c>
      <c r="L763" s="6">
        <v>-9.61</v>
      </c>
      <c r="M763" s="6">
        <f t="shared" si="1"/>
        <v>-3.210759205</v>
      </c>
      <c r="N763" s="6">
        <v>-9.61</v>
      </c>
      <c r="O763" s="7" t="s">
        <v>45</v>
      </c>
      <c r="P763" s="7" t="s">
        <v>46</v>
      </c>
      <c r="Q763" s="7" t="s">
        <v>25</v>
      </c>
      <c r="R763" s="10">
        <v>-39214.6</v>
      </c>
      <c r="S763" s="10">
        <v>-10054.5</v>
      </c>
      <c r="T763" s="9" t="s">
        <v>29</v>
      </c>
      <c r="U763" s="9"/>
      <c r="V763" s="9"/>
      <c r="W763" s="9"/>
      <c r="X763" s="9"/>
      <c r="Y763" s="9"/>
      <c r="Z763" s="9"/>
      <c r="AA763" s="9"/>
      <c r="AB763" s="9"/>
    </row>
    <row r="764">
      <c r="A764" s="5">
        <v>42400.0</v>
      </c>
      <c r="B764" s="6">
        <v>2016.0</v>
      </c>
      <c r="C764" s="7" t="s">
        <v>30</v>
      </c>
      <c r="D764" s="7" t="s">
        <v>27</v>
      </c>
      <c r="E764" s="7" t="s">
        <v>41</v>
      </c>
      <c r="F764" s="6">
        <v>6525.0</v>
      </c>
      <c r="G764" s="6">
        <v>218104.07</v>
      </c>
      <c r="H764" s="6">
        <v>33.43</v>
      </c>
      <c r="I764" s="8">
        <v>36.57658084291188</v>
      </c>
      <c r="J764" s="6">
        <v>238662.19</v>
      </c>
      <c r="K764" s="6">
        <v>-20558.13</v>
      </c>
      <c r="L764" s="6">
        <v>-9.43</v>
      </c>
      <c r="M764" s="6">
        <f t="shared" si="1"/>
        <v>-3.150671264</v>
      </c>
      <c r="N764" s="6">
        <v>-9.43</v>
      </c>
      <c r="O764" s="7" t="s">
        <v>45</v>
      </c>
      <c r="P764" s="7" t="s">
        <v>46</v>
      </c>
      <c r="Q764" s="7" t="s">
        <v>25</v>
      </c>
      <c r="R764" s="10">
        <v>-49269.1</v>
      </c>
      <c r="S764" s="10">
        <v>28710.98</v>
      </c>
      <c r="T764" s="9" t="s">
        <v>33</v>
      </c>
      <c r="U764" s="9"/>
      <c r="V764" s="9"/>
      <c r="W764" s="9"/>
      <c r="X764" s="9"/>
      <c r="Y764" s="9"/>
      <c r="Z764" s="9"/>
      <c r="AA764" s="9"/>
      <c r="AB764" s="9"/>
    </row>
    <row r="765">
      <c r="A765" s="5">
        <v>42401.0</v>
      </c>
      <c r="B765" s="6">
        <v>2016.0</v>
      </c>
      <c r="C765" s="7" t="s">
        <v>68</v>
      </c>
      <c r="D765" s="7" t="s">
        <v>31</v>
      </c>
      <c r="E765" s="7" t="s">
        <v>22</v>
      </c>
      <c r="F765" s="6">
        <v>10153.0</v>
      </c>
      <c r="G765" s="6">
        <v>339004.34</v>
      </c>
      <c r="H765" s="6">
        <v>33.39</v>
      </c>
      <c r="I765" s="8">
        <v>36.55837584950261</v>
      </c>
      <c r="J765" s="6">
        <v>371177.19</v>
      </c>
      <c r="K765" s="6">
        <v>-32172.85</v>
      </c>
      <c r="L765" s="6">
        <v>-9.49</v>
      </c>
      <c r="M765" s="6">
        <f t="shared" si="1"/>
        <v>-3.168802324</v>
      </c>
      <c r="N765" s="6">
        <v>-9.49</v>
      </c>
      <c r="O765" s="7" t="s">
        <v>45</v>
      </c>
      <c r="P765" s="7" t="s">
        <v>46</v>
      </c>
      <c r="Q765" s="7" t="s">
        <v>25</v>
      </c>
      <c r="R765" s="10">
        <v>-20558.13</v>
      </c>
      <c r="S765" s="10">
        <v>-11614.72</v>
      </c>
      <c r="T765" s="9" t="s">
        <v>29</v>
      </c>
      <c r="U765" s="9"/>
      <c r="V765" s="9"/>
      <c r="W765" s="9"/>
      <c r="X765" s="9"/>
      <c r="Y765" s="9"/>
      <c r="Z765" s="9"/>
      <c r="AA765" s="9"/>
      <c r="AB765" s="9"/>
    </row>
    <row r="766">
      <c r="A766" s="5">
        <v>42402.0</v>
      </c>
      <c r="B766" s="6">
        <v>2016.0</v>
      </c>
      <c r="C766" s="7" t="s">
        <v>68</v>
      </c>
      <c r="D766" s="7" t="s">
        <v>34</v>
      </c>
      <c r="E766" s="7" t="s">
        <v>28</v>
      </c>
      <c r="F766" s="6">
        <v>8116.0</v>
      </c>
      <c r="G766" s="6">
        <v>278116.37</v>
      </c>
      <c r="H766" s="6">
        <v>34.27</v>
      </c>
      <c r="I766" s="8">
        <v>36.42750492853622</v>
      </c>
      <c r="J766" s="6">
        <v>295645.63</v>
      </c>
      <c r="K766" s="6">
        <v>-17529.26</v>
      </c>
      <c r="L766" s="6">
        <v>-6.3</v>
      </c>
      <c r="M766" s="6">
        <f t="shared" si="1"/>
        <v>-2.159839823</v>
      </c>
      <c r="N766" s="6">
        <v>-6.3</v>
      </c>
      <c r="O766" s="7" t="s">
        <v>45</v>
      </c>
      <c r="P766" s="7" t="s">
        <v>46</v>
      </c>
      <c r="Q766" s="7" t="s">
        <v>25</v>
      </c>
      <c r="R766" s="10">
        <v>-32172.85</v>
      </c>
      <c r="S766" s="10">
        <v>14643.59</v>
      </c>
      <c r="T766" s="9" t="s">
        <v>33</v>
      </c>
      <c r="U766" s="9"/>
      <c r="V766" s="9"/>
      <c r="W766" s="9"/>
      <c r="X766" s="9"/>
      <c r="Y766" s="9"/>
      <c r="Z766" s="9"/>
      <c r="AA766" s="9"/>
      <c r="AB766" s="9"/>
    </row>
    <row r="767">
      <c r="A767" s="5">
        <v>42403.0</v>
      </c>
      <c r="B767" s="6">
        <v>2016.0</v>
      </c>
      <c r="C767" s="7" t="s">
        <v>68</v>
      </c>
      <c r="D767" s="7" t="s">
        <v>36</v>
      </c>
      <c r="E767" s="7" t="s">
        <v>32</v>
      </c>
      <c r="F767" s="6">
        <v>7712.0</v>
      </c>
      <c r="G767" s="6">
        <v>264159.3</v>
      </c>
      <c r="H767" s="6">
        <v>34.25</v>
      </c>
      <c r="I767" s="8">
        <v>36.35791882780083</v>
      </c>
      <c r="J767" s="6">
        <v>280392.27</v>
      </c>
      <c r="K767" s="6">
        <v>-16232.97</v>
      </c>
      <c r="L767" s="6">
        <v>-6.15</v>
      </c>
      <c r="M767" s="6">
        <f t="shared" si="1"/>
        <v>-2.104897562</v>
      </c>
      <c r="N767" s="6">
        <v>-6.15</v>
      </c>
      <c r="O767" s="7" t="s">
        <v>45</v>
      </c>
      <c r="P767" s="7" t="s">
        <v>46</v>
      </c>
      <c r="Q767" s="7" t="s">
        <v>25</v>
      </c>
      <c r="R767" s="10">
        <v>-17529.26</v>
      </c>
      <c r="S767" s="10">
        <v>1296.29</v>
      </c>
      <c r="T767" s="9" t="s">
        <v>33</v>
      </c>
      <c r="U767" s="9"/>
      <c r="V767" s="9"/>
      <c r="W767" s="9"/>
      <c r="X767" s="9"/>
      <c r="Y767" s="9"/>
      <c r="Z767" s="9"/>
      <c r="AA767" s="9"/>
      <c r="AB767" s="9"/>
    </row>
    <row r="768">
      <c r="A768" s="5">
        <v>42404.0</v>
      </c>
      <c r="B768" s="6">
        <v>2016.0</v>
      </c>
      <c r="C768" s="7" t="s">
        <v>68</v>
      </c>
      <c r="D768" s="7" t="s">
        <v>38</v>
      </c>
      <c r="E768" s="7" t="s">
        <v>35</v>
      </c>
      <c r="F768" s="6">
        <v>5759.0</v>
      </c>
      <c r="G768" s="6">
        <v>197778.13</v>
      </c>
      <c r="H768" s="6">
        <v>34.34</v>
      </c>
      <c r="I768" s="8">
        <v>36.35566765063379</v>
      </c>
      <c r="J768" s="6">
        <v>209372.29</v>
      </c>
      <c r="K768" s="6">
        <v>-11594.16</v>
      </c>
      <c r="L768" s="6">
        <v>-5.86</v>
      </c>
      <c r="M768" s="6">
        <f t="shared" si="1"/>
        <v>-2.013224518</v>
      </c>
      <c r="N768" s="6">
        <v>-5.86</v>
      </c>
      <c r="O768" s="7" t="s">
        <v>45</v>
      </c>
      <c r="P768" s="7" t="s">
        <v>46</v>
      </c>
      <c r="Q768" s="7" t="s">
        <v>25</v>
      </c>
      <c r="R768" s="10">
        <v>-16232.97</v>
      </c>
      <c r="S768" s="10">
        <v>4638.81</v>
      </c>
      <c r="T768" s="9" t="s">
        <v>33</v>
      </c>
      <c r="U768" s="9"/>
      <c r="V768" s="9"/>
      <c r="W768" s="9"/>
      <c r="X768" s="9"/>
      <c r="Y768" s="9"/>
      <c r="Z768" s="9"/>
      <c r="AA768" s="9"/>
      <c r="AB768" s="9"/>
    </row>
    <row r="769">
      <c r="A769" s="5">
        <v>42405.0</v>
      </c>
      <c r="B769" s="6">
        <v>2016.0</v>
      </c>
      <c r="C769" s="7" t="s">
        <v>68</v>
      </c>
      <c r="D769" s="7" t="s">
        <v>40</v>
      </c>
      <c r="E769" s="7" t="s">
        <v>37</v>
      </c>
      <c r="F769" s="6">
        <v>9501.0</v>
      </c>
      <c r="G769" s="6">
        <v>325749.01</v>
      </c>
      <c r="H769" s="6">
        <v>34.29</v>
      </c>
      <c r="I769" s="8">
        <v>36.342259762130304</v>
      </c>
      <c r="J769" s="6">
        <v>345287.81</v>
      </c>
      <c r="K769" s="6">
        <v>-19538.8</v>
      </c>
      <c r="L769" s="6">
        <v>-6.0</v>
      </c>
      <c r="M769" s="6">
        <f t="shared" si="1"/>
        <v>-2.056499316</v>
      </c>
      <c r="N769" s="6">
        <v>-6.0</v>
      </c>
      <c r="O769" s="7" t="s">
        <v>45</v>
      </c>
      <c r="P769" s="7" t="s">
        <v>46</v>
      </c>
      <c r="Q769" s="7" t="s">
        <v>25</v>
      </c>
      <c r="R769" s="10">
        <v>-11594.16</v>
      </c>
      <c r="S769" s="10">
        <v>-7944.64</v>
      </c>
      <c r="T769" s="9" t="s">
        <v>29</v>
      </c>
      <c r="U769" s="9"/>
      <c r="V769" s="9"/>
      <c r="W769" s="9"/>
      <c r="X769" s="9"/>
      <c r="Y769" s="9"/>
      <c r="Z769" s="9"/>
      <c r="AA769" s="9"/>
      <c r="AB769" s="9"/>
    </row>
    <row r="770">
      <c r="A770" s="5">
        <v>42406.0</v>
      </c>
      <c r="B770" s="6">
        <v>2016.0</v>
      </c>
      <c r="C770" s="7" t="s">
        <v>68</v>
      </c>
      <c r="D770" s="7" t="s">
        <v>42</v>
      </c>
      <c r="E770" s="7" t="s">
        <v>39</v>
      </c>
      <c r="F770" s="6">
        <v>10840.0</v>
      </c>
      <c r="G770" s="6">
        <v>371561.98</v>
      </c>
      <c r="H770" s="6">
        <v>34.28</v>
      </c>
      <c r="I770" s="8">
        <v>36.336202029520294</v>
      </c>
      <c r="J770" s="6">
        <v>393884.43</v>
      </c>
      <c r="K770" s="6">
        <v>-22322.46</v>
      </c>
      <c r="L770" s="6">
        <v>-6.01</v>
      </c>
      <c r="M770" s="6">
        <f t="shared" si="1"/>
        <v>-2.059267528</v>
      </c>
      <c r="N770" s="6">
        <v>-6.01</v>
      </c>
      <c r="O770" s="7" t="s">
        <v>45</v>
      </c>
      <c r="P770" s="7" t="s">
        <v>46</v>
      </c>
      <c r="Q770" s="7" t="s">
        <v>25</v>
      </c>
      <c r="R770" s="10">
        <v>-19538.8</v>
      </c>
      <c r="S770" s="10">
        <v>-2783.65</v>
      </c>
      <c r="T770" s="9" t="s">
        <v>29</v>
      </c>
      <c r="U770" s="9"/>
      <c r="V770" s="9"/>
      <c r="W770" s="9"/>
      <c r="X770" s="9"/>
      <c r="Y770" s="9"/>
      <c r="Z770" s="9"/>
      <c r="AA770" s="9"/>
      <c r="AB770" s="9"/>
    </row>
    <row r="771">
      <c r="A771" s="5">
        <v>42407.0</v>
      </c>
      <c r="B771" s="6">
        <v>2016.0</v>
      </c>
      <c r="C771" s="7" t="s">
        <v>68</v>
      </c>
      <c r="D771" s="7" t="s">
        <v>43</v>
      </c>
      <c r="E771" s="7" t="s">
        <v>41</v>
      </c>
      <c r="F771" s="6">
        <v>5089.0</v>
      </c>
      <c r="G771" s="6">
        <v>174581.68</v>
      </c>
      <c r="H771" s="6">
        <v>34.31</v>
      </c>
      <c r="I771" s="8">
        <v>36.36093928080173</v>
      </c>
      <c r="J771" s="6">
        <v>185040.82</v>
      </c>
      <c r="K771" s="6">
        <v>-10459.14</v>
      </c>
      <c r="L771" s="6">
        <v>-5.99</v>
      </c>
      <c r="M771" s="6">
        <f t="shared" si="1"/>
        <v>-2.055244645</v>
      </c>
      <c r="N771" s="6">
        <v>-5.99</v>
      </c>
      <c r="O771" s="7" t="s">
        <v>45</v>
      </c>
      <c r="P771" s="7" t="s">
        <v>46</v>
      </c>
      <c r="Q771" s="7" t="s">
        <v>25</v>
      </c>
      <c r="R771" s="10">
        <v>-22322.46</v>
      </c>
      <c r="S771" s="10">
        <v>11863.32</v>
      </c>
      <c r="T771" s="9" t="s">
        <v>33</v>
      </c>
      <c r="U771" s="9"/>
      <c r="V771" s="9"/>
      <c r="W771" s="9"/>
      <c r="X771" s="9"/>
      <c r="Y771" s="9"/>
      <c r="Z771" s="9"/>
      <c r="AA771" s="9"/>
      <c r="AB771" s="9"/>
    </row>
    <row r="772">
      <c r="A772" s="5">
        <v>42408.0</v>
      </c>
      <c r="B772" s="6">
        <v>2016.0</v>
      </c>
      <c r="C772" s="7" t="s">
        <v>68</v>
      </c>
      <c r="D772" s="7" t="s">
        <v>44</v>
      </c>
      <c r="E772" s="7" t="s">
        <v>22</v>
      </c>
      <c r="F772" s="6">
        <v>6087.0</v>
      </c>
      <c r="G772" s="6">
        <v>208489.37</v>
      </c>
      <c r="H772" s="6">
        <v>34.25</v>
      </c>
      <c r="I772" s="8">
        <v>36.36813537046164</v>
      </c>
      <c r="J772" s="6">
        <v>221372.84</v>
      </c>
      <c r="K772" s="6">
        <v>-12883.47</v>
      </c>
      <c r="L772" s="6">
        <v>-6.18</v>
      </c>
      <c r="M772" s="6">
        <f t="shared" si="1"/>
        <v>-2.116554953</v>
      </c>
      <c r="N772" s="6">
        <v>-6.18</v>
      </c>
      <c r="O772" s="7" t="s">
        <v>45</v>
      </c>
      <c r="P772" s="7" t="s">
        <v>46</v>
      </c>
      <c r="Q772" s="7" t="s">
        <v>25</v>
      </c>
      <c r="R772" s="10">
        <v>-10459.14</v>
      </c>
      <c r="S772" s="10">
        <v>-2424.33</v>
      </c>
      <c r="T772" s="9" t="s">
        <v>29</v>
      </c>
      <c r="U772" s="9"/>
      <c r="V772" s="9"/>
      <c r="W772" s="9"/>
      <c r="X772" s="9"/>
      <c r="Y772" s="9"/>
      <c r="Z772" s="9"/>
      <c r="AA772" s="9"/>
      <c r="AB772" s="9"/>
    </row>
    <row r="773">
      <c r="A773" s="5">
        <v>42409.0</v>
      </c>
      <c r="B773" s="6">
        <v>2016.0</v>
      </c>
      <c r="C773" s="7" t="s">
        <v>68</v>
      </c>
      <c r="D773" s="7" t="s">
        <v>47</v>
      </c>
      <c r="E773" s="7" t="s">
        <v>28</v>
      </c>
      <c r="F773" s="6">
        <v>2053.0</v>
      </c>
      <c r="G773" s="6">
        <v>84495.17</v>
      </c>
      <c r="H773" s="6">
        <v>41.16</v>
      </c>
      <c r="I773" s="8">
        <v>36.37714076960546</v>
      </c>
      <c r="J773" s="6">
        <v>74682.27</v>
      </c>
      <c r="K773" s="6">
        <v>9812.9</v>
      </c>
      <c r="L773" s="6">
        <v>11.61</v>
      </c>
      <c r="M773" s="6">
        <f t="shared" si="1"/>
        <v>4.779785679</v>
      </c>
      <c r="N773" s="6">
        <v>11.61</v>
      </c>
      <c r="O773" s="7" t="s">
        <v>45</v>
      </c>
      <c r="P773" s="7" t="s">
        <v>46</v>
      </c>
      <c r="Q773" s="7" t="s">
        <v>25</v>
      </c>
      <c r="R773" s="10">
        <v>-12883.47</v>
      </c>
      <c r="S773" s="10">
        <v>22696.37</v>
      </c>
      <c r="T773" s="9" t="s">
        <v>33</v>
      </c>
      <c r="U773" s="9"/>
      <c r="V773" s="9"/>
      <c r="W773" s="9"/>
      <c r="X773" s="9"/>
      <c r="Y773" s="9"/>
      <c r="Z773" s="9"/>
      <c r="AA773" s="9"/>
      <c r="AB773" s="9"/>
    </row>
    <row r="774">
      <c r="A774" s="5">
        <v>42410.0</v>
      </c>
      <c r="B774" s="6">
        <v>2016.0</v>
      </c>
      <c r="C774" s="7" t="s">
        <v>68</v>
      </c>
      <c r="D774" s="7" t="s">
        <v>48</v>
      </c>
      <c r="E774" s="7" t="s">
        <v>32</v>
      </c>
      <c r="F774" s="6">
        <v>1825.0</v>
      </c>
      <c r="G774" s="6">
        <v>76661.25</v>
      </c>
      <c r="H774" s="6">
        <v>42.01</v>
      </c>
      <c r="I774" s="8">
        <v>36.37236164383562</v>
      </c>
      <c r="J774" s="6">
        <v>66379.56</v>
      </c>
      <c r="K774" s="6">
        <v>10281.69</v>
      </c>
      <c r="L774" s="6">
        <v>13.41</v>
      </c>
      <c r="M774" s="6">
        <f t="shared" si="1"/>
        <v>5.63380274</v>
      </c>
      <c r="N774" s="6">
        <v>13.41</v>
      </c>
      <c r="O774" s="7" t="s">
        <v>45</v>
      </c>
      <c r="P774" s="7" t="s">
        <v>46</v>
      </c>
      <c r="Q774" s="7" t="s">
        <v>25</v>
      </c>
      <c r="R774" s="10">
        <v>9812.9</v>
      </c>
      <c r="S774" s="10">
        <v>468.79</v>
      </c>
      <c r="T774" s="9" t="s">
        <v>33</v>
      </c>
      <c r="U774" s="9"/>
      <c r="V774" s="9"/>
      <c r="W774" s="9"/>
      <c r="X774" s="9"/>
      <c r="Y774" s="9"/>
      <c r="Z774" s="9"/>
      <c r="AA774" s="9"/>
      <c r="AB774" s="9"/>
    </row>
    <row r="775">
      <c r="A775" s="5">
        <v>42411.0</v>
      </c>
      <c r="B775" s="6">
        <v>2016.0</v>
      </c>
      <c r="C775" s="7" t="s">
        <v>68</v>
      </c>
      <c r="D775" s="7" t="s">
        <v>49</v>
      </c>
      <c r="E775" s="7" t="s">
        <v>35</v>
      </c>
      <c r="F775" s="6">
        <v>1525.0</v>
      </c>
      <c r="G775" s="6">
        <v>64034.94</v>
      </c>
      <c r="H775" s="6">
        <v>41.99</v>
      </c>
      <c r="I775" s="8">
        <v>36.387763934426225</v>
      </c>
      <c r="J775" s="6">
        <v>55491.34</v>
      </c>
      <c r="K775" s="6">
        <v>8543.6</v>
      </c>
      <c r="L775" s="6">
        <v>13.34</v>
      </c>
      <c r="M775" s="6">
        <f t="shared" si="1"/>
        <v>5.602360656</v>
      </c>
      <c r="N775" s="6">
        <v>13.34</v>
      </c>
      <c r="O775" s="7" t="s">
        <v>45</v>
      </c>
      <c r="P775" s="7" t="s">
        <v>46</v>
      </c>
      <c r="Q775" s="7" t="s">
        <v>25</v>
      </c>
      <c r="R775" s="10">
        <v>10281.69</v>
      </c>
      <c r="S775" s="10">
        <v>-1738.08</v>
      </c>
      <c r="T775" s="9" t="s">
        <v>29</v>
      </c>
      <c r="U775" s="9"/>
      <c r="V775" s="9"/>
      <c r="W775" s="9"/>
      <c r="X775" s="9"/>
      <c r="Y775" s="9"/>
      <c r="Z775" s="9"/>
      <c r="AA775" s="9"/>
      <c r="AB775" s="9"/>
    </row>
    <row r="776">
      <c r="A776" s="5">
        <v>42412.0</v>
      </c>
      <c r="B776" s="6">
        <v>2016.0</v>
      </c>
      <c r="C776" s="7" t="s">
        <v>68</v>
      </c>
      <c r="D776" s="7" t="s">
        <v>50</v>
      </c>
      <c r="E776" s="7" t="s">
        <v>37</v>
      </c>
      <c r="F776" s="6">
        <v>3542.0</v>
      </c>
      <c r="G776" s="6">
        <v>148839.97</v>
      </c>
      <c r="H776" s="6">
        <v>42.02</v>
      </c>
      <c r="I776" s="8">
        <v>36.58483625070582</v>
      </c>
      <c r="J776" s="6">
        <v>129583.49</v>
      </c>
      <c r="K776" s="6">
        <v>19256.48</v>
      </c>
      <c r="L776" s="6">
        <v>12.94</v>
      </c>
      <c r="M776" s="6">
        <f t="shared" si="1"/>
        <v>5.436612084</v>
      </c>
      <c r="N776" s="6">
        <v>12.94</v>
      </c>
      <c r="O776" s="7" t="s">
        <v>45</v>
      </c>
      <c r="P776" s="7" t="s">
        <v>46</v>
      </c>
      <c r="Q776" s="7" t="s">
        <v>25</v>
      </c>
      <c r="R776" s="10">
        <v>8543.6</v>
      </c>
      <c r="S776" s="10">
        <v>10712.88</v>
      </c>
      <c r="T776" s="9" t="s">
        <v>33</v>
      </c>
      <c r="U776" s="9"/>
      <c r="V776" s="9"/>
      <c r="W776" s="9"/>
      <c r="X776" s="9"/>
      <c r="Y776" s="9"/>
      <c r="Z776" s="9"/>
      <c r="AA776" s="9"/>
      <c r="AB776" s="9"/>
    </row>
    <row r="777">
      <c r="A777" s="5">
        <v>42413.0</v>
      </c>
      <c r="B777" s="6">
        <v>2016.0</v>
      </c>
      <c r="C777" s="7" t="s">
        <v>68</v>
      </c>
      <c r="D777" s="7" t="s">
        <v>51</v>
      </c>
      <c r="E777" s="7" t="s">
        <v>39</v>
      </c>
      <c r="F777" s="6">
        <v>4105.0</v>
      </c>
      <c r="G777" s="6">
        <v>172541.51</v>
      </c>
      <c r="H777" s="6">
        <v>42.03</v>
      </c>
      <c r="I777" s="8">
        <v>36.672102314250914</v>
      </c>
      <c r="J777" s="6">
        <v>150538.98</v>
      </c>
      <c r="K777" s="6">
        <v>22002.52</v>
      </c>
      <c r="L777" s="6">
        <v>12.75</v>
      </c>
      <c r="M777" s="6">
        <f t="shared" si="1"/>
        <v>5.35993179</v>
      </c>
      <c r="N777" s="6">
        <v>12.75</v>
      </c>
      <c r="O777" s="7" t="s">
        <v>45</v>
      </c>
      <c r="P777" s="7" t="s">
        <v>46</v>
      </c>
      <c r="Q777" s="7" t="s">
        <v>25</v>
      </c>
      <c r="R777" s="10">
        <v>19256.48</v>
      </c>
      <c r="S777" s="10">
        <v>2746.04</v>
      </c>
      <c r="T777" s="9" t="s">
        <v>33</v>
      </c>
      <c r="U777" s="9"/>
      <c r="V777" s="9"/>
      <c r="W777" s="9"/>
      <c r="X777" s="9"/>
      <c r="Y777" s="9"/>
      <c r="Z777" s="9"/>
      <c r="AA777" s="9"/>
      <c r="AB777" s="9"/>
    </row>
    <row r="778">
      <c r="A778" s="5">
        <v>42414.0</v>
      </c>
      <c r="B778" s="6">
        <v>2016.0</v>
      </c>
      <c r="C778" s="7" t="s">
        <v>68</v>
      </c>
      <c r="D778" s="7" t="s">
        <v>52</v>
      </c>
      <c r="E778" s="7" t="s">
        <v>41</v>
      </c>
      <c r="F778" s="6">
        <v>2094.0</v>
      </c>
      <c r="G778" s="6">
        <v>87991.66</v>
      </c>
      <c r="H778" s="6">
        <v>42.02</v>
      </c>
      <c r="I778" s="8">
        <v>36.47492836676218</v>
      </c>
      <c r="J778" s="6">
        <v>76378.5</v>
      </c>
      <c r="K778" s="6">
        <v>11613.16</v>
      </c>
      <c r="L778" s="6">
        <v>13.2</v>
      </c>
      <c r="M778" s="6">
        <f t="shared" si="1"/>
        <v>5.545921681</v>
      </c>
      <c r="N778" s="6">
        <v>13.2</v>
      </c>
      <c r="O778" s="7" t="s">
        <v>45</v>
      </c>
      <c r="P778" s="7" t="s">
        <v>46</v>
      </c>
      <c r="Q778" s="7" t="s">
        <v>25</v>
      </c>
      <c r="R778" s="10">
        <v>22002.52</v>
      </c>
      <c r="S778" s="10">
        <v>-10389.37</v>
      </c>
      <c r="T778" s="9" t="s">
        <v>29</v>
      </c>
      <c r="U778" s="9"/>
      <c r="V778" s="9"/>
      <c r="W778" s="9"/>
      <c r="X778" s="9"/>
      <c r="Y778" s="9"/>
      <c r="Z778" s="9"/>
      <c r="AA778" s="9"/>
      <c r="AB778" s="9"/>
    </row>
    <row r="779">
      <c r="A779" s="5">
        <v>42415.0</v>
      </c>
      <c r="B779" s="6">
        <v>2016.0</v>
      </c>
      <c r="C779" s="7" t="s">
        <v>68</v>
      </c>
      <c r="D779" s="7" t="s">
        <v>53</v>
      </c>
      <c r="E779" s="7" t="s">
        <v>22</v>
      </c>
      <c r="F779" s="6">
        <v>2940.0</v>
      </c>
      <c r="G779" s="6">
        <v>123445.38</v>
      </c>
      <c r="H779" s="6">
        <v>41.99</v>
      </c>
      <c r="I779" s="8">
        <v>36.9623231292517</v>
      </c>
      <c r="J779" s="6">
        <v>108669.23</v>
      </c>
      <c r="K779" s="6">
        <v>14776.16</v>
      </c>
      <c r="L779" s="6">
        <v>11.97</v>
      </c>
      <c r="M779" s="6">
        <f t="shared" si="1"/>
        <v>5.025904762</v>
      </c>
      <c r="N779" s="6">
        <v>11.97</v>
      </c>
      <c r="O779" s="7" t="s">
        <v>45</v>
      </c>
      <c r="P779" s="7" t="s">
        <v>46</v>
      </c>
      <c r="Q779" s="7" t="s">
        <v>25</v>
      </c>
      <c r="R779" s="10">
        <v>11613.16</v>
      </c>
      <c r="S779" s="10">
        <v>3163.0</v>
      </c>
      <c r="T779" s="9" t="s">
        <v>33</v>
      </c>
      <c r="U779" s="9"/>
      <c r="V779" s="9"/>
      <c r="W779" s="9"/>
      <c r="X779" s="9"/>
      <c r="Y779" s="9"/>
      <c r="Z779" s="9"/>
      <c r="AA779" s="9"/>
      <c r="AB779" s="9"/>
    </row>
    <row r="780">
      <c r="A780" s="5">
        <v>42416.0</v>
      </c>
      <c r="B780" s="6">
        <v>2016.0</v>
      </c>
      <c r="C780" s="7" t="s">
        <v>68</v>
      </c>
      <c r="D780" s="7" t="s">
        <v>54</v>
      </c>
      <c r="E780" s="7" t="s">
        <v>28</v>
      </c>
      <c r="F780" s="6">
        <v>1841.0</v>
      </c>
      <c r="G780" s="6">
        <v>77344.69</v>
      </c>
      <c r="H780" s="6">
        <v>42.01</v>
      </c>
      <c r="I780" s="8">
        <v>37.082699619771866</v>
      </c>
      <c r="J780" s="6">
        <v>68269.25</v>
      </c>
      <c r="K780" s="6">
        <v>9075.44</v>
      </c>
      <c r="L780" s="6">
        <v>11.73</v>
      </c>
      <c r="M780" s="6">
        <f t="shared" si="1"/>
        <v>4.929625204</v>
      </c>
      <c r="N780" s="6">
        <v>11.73</v>
      </c>
      <c r="O780" s="7" t="s">
        <v>45</v>
      </c>
      <c r="P780" s="7" t="s">
        <v>46</v>
      </c>
      <c r="Q780" s="7" t="s">
        <v>25</v>
      </c>
      <c r="R780" s="10">
        <v>14776.16</v>
      </c>
      <c r="S780" s="10">
        <v>-5700.71</v>
      </c>
      <c r="T780" s="9" t="s">
        <v>29</v>
      </c>
      <c r="U780" s="9"/>
      <c r="V780" s="9"/>
      <c r="W780" s="9"/>
      <c r="X780" s="9"/>
      <c r="Y780" s="9"/>
      <c r="Z780" s="9"/>
      <c r="AA780" s="9"/>
      <c r="AB780" s="9"/>
    </row>
    <row r="781">
      <c r="A781" s="5">
        <v>42417.0</v>
      </c>
      <c r="B781" s="6">
        <v>2016.0</v>
      </c>
      <c r="C781" s="7" t="s">
        <v>68</v>
      </c>
      <c r="D781" s="7" t="s">
        <v>55</v>
      </c>
      <c r="E781" s="7" t="s">
        <v>32</v>
      </c>
      <c r="F781" s="6">
        <v>4529.0</v>
      </c>
      <c r="G781" s="6">
        <v>158963.02</v>
      </c>
      <c r="H781" s="6">
        <v>35.1</v>
      </c>
      <c r="I781" s="8">
        <v>36.988635460366524</v>
      </c>
      <c r="J781" s="6">
        <v>167521.53</v>
      </c>
      <c r="K781" s="6">
        <v>-8558.5</v>
      </c>
      <c r="L781" s="6">
        <v>-5.38</v>
      </c>
      <c r="M781" s="6">
        <f t="shared" si="1"/>
        <v>-1.889710753</v>
      </c>
      <c r="N781" s="6">
        <v>-5.38</v>
      </c>
      <c r="O781" s="7" t="s">
        <v>45</v>
      </c>
      <c r="P781" s="7" t="s">
        <v>46</v>
      </c>
      <c r="Q781" s="7" t="s">
        <v>25</v>
      </c>
      <c r="R781" s="10">
        <v>9075.44</v>
      </c>
      <c r="S781" s="10">
        <v>-17633.94</v>
      </c>
      <c r="T781" s="9" t="s">
        <v>29</v>
      </c>
      <c r="U781" s="9"/>
      <c r="V781" s="9"/>
      <c r="W781" s="9"/>
      <c r="X781" s="9"/>
      <c r="Y781" s="9"/>
      <c r="Z781" s="9"/>
      <c r="AA781" s="9"/>
      <c r="AB781" s="9"/>
    </row>
    <row r="782">
      <c r="A782" s="5">
        <v>42418.0</v>
      </c>
      <c r="B782" s="6">
        <v>2016.0</v>
      </c>
      <c r="C782" s="7" t="s">
        <v>68</v>
      </c>
      <c r="D782" s="7" t="s">
        <v>56</v>
      </c>
      <c r="E782" s="7" t="s">
        <v>35</v>
      </c>
      <c r="F782" s="6">
        <v>1658.0</v>
      </c>
      <c r="G782" s="6">
        <v>69598.07</v>
      </c>
      <c r="H782" s="6">
        <v>41.98</v>
      </c>
      <c r="I782" s="8">
        <v>37.08864294330519</v>
      </c>
      <c r="J782" s="6">
        <v>61492.97</v>
      </c>
      <c r="K782" s="6">
        <v>8105.1</v>
      </c>
      <c r="L782" s="6">
        <v>11.65</v>
      </c>
      <c r="M782" s="6">
        <f t="shared" si="1"/>
        <v>4.888480097</v>
      </c>
      <c r="N782" s="6">
        <v>11.65</v>
      </c>
      <c r="O782" s="7" t="s">
        <v>45</v>
      </c>
      <c r="P782" s="7" t="s">
        <v>46</v>
      </c>
      <c r="Q782" s="7" t="s">
        <v>25</v>
      </c>
      <c r="R782" s="10">
        <v>-8558.5</v>
      </c>
      <c r="S782" s="10">
        <v>16663.6</v>
      </c>
      <c r="T782" s="9" t="s">
        <v>33</v>
      </c>
      <c r="U782" s="9"/>
      <c r="V782" s="9"/>
      <c r="W782" s="9"/>
      <c r="X782" s="9"/>
      <c r="Y782" s="9"/>
      <c r="Z782" s="9"/>
      <c r="AA782" s="9"/>
      <c r="AB782" s="9"/>
    </row>
    <row r="783">
      <c r="A783" s="5">
        <v>42419.0</v>
      </c>
      <c r="B783" s="6">
        <v>2016.0</v>
      </c>
      <c r="C783" s="7" t="s">
        <v>68</v>
      </c>
      <c r="D783" s="7" t="s">
        <v>57</v>
      </c>
      <c r="E783" s="7" t="s">
        <v>37</v>
      </c>
      <c r="F783" s="6">
        <v>3841.0</v>
      </c>
      <c r="G783" s="6">
        <v>161275.6</v>
      </c>
      <c r="H783" s="6">
        <v>41.99</v>
      </c>
      <c r="I783" s="8">
        <v>37.346097370476436</v>
      </c>
      <c r="J783" s="6">
        <v>143446.36</v>
      </c>
      <c r="K783" s="6">
        <v>17829.24</v>
      </c>
      <c r="L783" s="6">
        <v>11.06</v>
      </c>
      <c r="M783" s="6">
        <f t="shared" si="1"/>
        <v>4.641822442</v>
      </c>
      <c r="N783" s="6">
        <v>11.06</v>
      </c>
      <c r="O783" s="7" t="s">
        <v>45</v>
      </c>
      <c r="P783" s="7" t="s">
        <v>46</v>
      </c>
      <c r="Q783" s="7" t="s">
        <v>25</v>
      </c>
      <c r="R783" s="10">
        <v>8105.1</v>
      </c>
      <c r="S783" s="10">
        <v>9724.14</v>
      </c>
      <c r="T783" s="9" t="s">
        <v>33</v>
      </c>
      <c r="U783" s="9"/>
      <c r="V783" s="9"/>
      <c r="W783" s="9"/>
      <c r="X783" s="9"/>
      <c r="Y783" s="9"/>
      <c r="Z783" s="9"/>
      <c r="AA783" s="9"/>
      <c r="AB783" s="9"/>
    </row>
    <row r="784">
      <c r="A784" s="5">
        <v>42420.0</v>
      </c>
      <c r="B784" s="6">
        <v>2016.0</v>
      </c>
      <c r="C784" s="7" t="s">
        <v>68</v>
      </c>
      <c r="D784" s="7" t="s">
        <v>58</v>
      </c>
      <c r="E784" s="7" t="s">
        <v>39</v>
      </c>
      <c r="F784" s="6">
        <v>9260.0</v>
      </c>
      <c r="G784" s="6">
        <v>325215.08</v>
      </c>
      <c r="H784" s="6">
        <v>35.12</v>
      </c>
      <c r="I784" s="8">
        <v>37.30518358531317</v>
      </c>
      <c r="J784" s="6">
        <v>345446.0</v>
      </c>
      <c r="K784" s="6">
        <v>-20230.93</v>
      </c>
      <c r="L784" s="6">
        <v>-6.22</v>
      </c>
      <c r="M784" s="6">
        <f t="shared" si="1"/>
        <v>-2.184765659</v>
      </c>
      <c r="N784" s="6">
        <v>-6.22</v>
      </c>
      <c r="O784" s="7" t="s">
        <v>45</v>
      </c>
      <c r="P784" s="7" t="s">
        <v>46</v>
      </c>
      <c r="Q784" s="7" t="s">
        <v>25</v>
      </c>
      <c r="R784" s="10">
        <v>17829.24</v>
      </c>
      <c r="S784" s="10">
        <v>-38060.17</v>
      </c>
      <c r="T784" s="9" t="s">
        <v>29</v>
      </c>
      <c r="U784" s="9"/>
      <c r="V784" s="9"/>
      <c r="W784" s="9"/>
      <c r="X784" s="9"/>
      <c r="Y784" s="9"/>
      <c r="Z784" s="9"/>
      <c r="AA784" s="9"/>
      <c r="AB784" s="9"/>
    </row>
    <row r="785">
      <c r="A785" s="5">
        <v>42421.0</v>
      </c>
      <c r="B785" s="6">
        <v>2016.0</v>
      </c>
      <c r="C785" s="7" t="s">
        <v>68</v>
      </c>
      <c r="D785" s="7" t="s">
        <v>59</v>
      </c>
      <c r="E785" s="7" t="s">
        <v>41</v>
      </c>
      <c r="F785" s="6">
        <v>2308.0</v>
      </c>
      <c r="G785" s="6">
        <v>96957.3</v>
      </c>
      <c r="H785" s="6">
        <v>42.01</v>
      </c>
      <c r="I785" s="8">
        <v>37.459051126516464</v>
      </c>
      <c r="J785" s="6">
        <v>86455.49</v>
      </c>
      <c r="K785" s="6">
        <v>10501.8</v>
      </c>
      <c r="L785" s="6">
        <v>10.83</v>
      </c>
      <c r="M785" s="6">
        <f t="shared" si="1"/>
        <v>4.55017331</v>
      </c>
      <c r="N785" s="6">
        <v>10.83</v>
      </c>
      <c r="O785" s="7" t="s">
        <v>45</v>
      </c>
      <c r="P785" s="7" t="s">
        <v>46</v>
      </c>
      <c r="Q785" s="7" t="s">
        <v>25</v>
      </c>
      <c r="R785" s="10">
        <v>-20230.93</v>
      </c>
      <c r="S785" s="10">
        <v>30732.73</v>
      </c>
      <c r="T785" s="9" t="s">
        <v>33</v>
      </c>
      <c r="U785" s="9"/>
      <c r="V785" s="9"/>
      <c r="W785" s="9"/>
      <c r="X785" s="9"/>
      <c r="Y785" s="9"/>
      <c r="Z785" s="9"/>
      <c r="AA785" s="9"/>
      <c r="AB785" s="9"/>
    </row>
    <row r="786">
      <c r="A786" s="5">
        <v>42422.0</v>
      </c>
      <c r="B786" s="6">
        <v>2016.0</v>
      </c>
      <c r="C786" s="7" t="s">
        <v>68</v>
      </c>
      <c r="D786" s="7" t="s">
        <v>60</v>
      </c>
      <c r="E786" s="7" t="s">
        <v>22</v>
      </c>
      <c r="F786" s="6">
        <v>2028.0</v>
      </c>
      <c r="G786" s="6">
        <v>85224.48</v>
      </c>
      <c r="H786" s="6">
        <v>42.02</v>
      </c>
      <c r="I786" s="8">
        <v>37.45597633136095</v>
      </c>
      <c r="J786" s="6">
        <v>75960.72</v>
      </c>
      <c r="K786" s="6">
        <v>9263.76</v>
      </c>
      <c r="L786" s="6">
        <v>10.87</v>
      </c>
      <c r="M786" s="6">
        <f t="shared" si="1"/>
        <v>4.567928994</v>
      </c>
      <c r="N786" s="6">
        <v>10.87</v>
      </c>
      <c r="O786" s="7" t="s">
        <v>45</v>
      </c>
      <c r="P786" s="7" t="s">
        <v>46</v>
      </c>
      <c r="Q786" s="7" t="s">
        <v>25</v>
      </c>
      <c r="R786" s="10">
        <v>10501.8</v>
      </c>
      <c r="S786" s="10">
        <v>-1238.04</v>
      </c>
      <c r="T786" s="9" t="s">
        <v>29</v>
      </c>
      <c r="U786" s="9"/>
      <c r="V786" s="9"/>
      <c r="W786" s="9"/>
      <c r="X786" s="9"/>
      <c r="Y786" s="9"/>
      <c r="Z786" s="9"/>
      <c r="AA786" s="9"/>
      <c r="AB786" s="9"/>
    </row>
    <row r="787">
      <c r="A787" s="5">
        <v>42423.0</v>
      </c>
      <c r="B787" s="6">
        <v>2016.0</v>
      </c>
      <c r="C787" s="7" t="s">
        <v>68</v>
      </c>
      <c r="D787" s="7" t="s">
        <v>61</v>
      </c>
      <c r="E787" s="7" t="s">
        <v>28</v>
      </c>
      <c r="F787" s="6">
        <v>1301.0</v>
      </c>
      <c r="G787" s="6">
        <v>54612.88</v>
      </c>
      <c r="H787" s="6">
        <v>41.98</v>
      </c>
      <c r="I787" s="8">
        <v>37.71852421214451</v>
      </c>
      <c r="J787" s="6">
        <v>49071.8</v>
      </c>
      <c r="K787" s="6">
        <v>5541.08</v>
      </c>
      <c r="L787" s="6">
        <v>10.15</v>
      </c>
      <c r="M787" s="6">
        <f t="shared" si="1"/>
        <v>4.259093005</v>
      </c>
      <c r="N787" s="6">
        <v>10.15</v>
      </c>
      <c r="O787" s="7" t="s">
        <v>45</v>
      </c>
      <c r="P787" s="7" t="s">
        <v>46</v>
      </c>
      <c r="Q787" s="7" t="s">
        <v>25</v>
      </c>
      <c r="R787" s="10">
        <v>9263.76</v>
      </c>
      <c r="S787" s="10">
        <v>-3722.68</v>
      </c>
      <c r="T787" s="9" t="s">
        <v>29</v>
      </c>
      <c r="U787" s="9"/>
      <c r="V787" s="9"/>
      <c r="W787" s="9"/>
      <c r="X787" s="9"/>
      <c r="Y787" s="9"/>
      <c r="Z787" s="9"/>
      <c r="AA787" s="9"/>
      <c r="AB787" s="9"/>
    </row>
    <row r="788">
      <c r="A788" s="5">
        <v>42424.0</v>
      </c>
      <c r="B788" s="6">
        <v>2016.0</v>
      </c>
      <c r="C788" s="7" t="s">
        <v>68</v>
      </c>
      <c r="D788" s="7" t="s">
        <v>62</v>
      </c>
      <c r="E788" s="7" t="s">
        <v>32</v>
      </c>
      <c r="F788" s="6">
        <v>2213.0</v>
      </c>
      <c r="G788" s="6">
        <v>81530.61</v>
      </c>
      <c r="H788" s="6">
        <v>36.84</v>
      </c>
      <c r="I788" s="8">
        <v>36.93540894713059</v>
      </c>
      <c r="J788" s="6">
        <v>81738.06</v>
      </c>
      <c r="K788" s="6">
        <v>-207.44</v>
      </c>
      <c r="L788" s="6">
        <v>-0.25</v>
      </c>
      <c r="M788" s="6">
        <f t="shared" si="1"/>
        <v>-0.09373700859</v>
      </c>
      <c r="N788" s="6">
        <v>-0.25</v>
      </c>
      <c r="O788" s="7" t="s">
        <v>45</v>
      </c>
      <c r="P788" s="7" t="s">
        <v>46</v>
      </c>
      <c r="Q788" s="7" t="s">
        <v>25</v>
      </c>
      <c r="R788" s="10">
        <v>5541.08</v>
      </c>
      <c r="S788" s="10">
        <v>-5748.52</v>
      </c>
      <c r="T788" s="9" t="s">
        <v>29</v>
      </c>
      <c r="U788" s="9"/>
      <c r="V788" s="9"/>
      <c r="W788" s="9"/>
      <c r="X788" s="9"/>
      <c r="Y788" s="9"/>
      <c r="Z788" s="9"/>
      <c r="AA788" s="9"/>
      <c r="AB788" s="9"/>
    </row>
    <row r="789">
      <c r="A789" s="5">
        <v>42425.0</v>
      </c>
      <c r="B789" s="6">
        <v>2016.0</v>
      </c>
      <c r="C789" s="7" t="s">
        <v>68</v>
      </c>
      <c r="D789" s="7" t="s">
        <v>63</v>
      </c>
      <c r="E789" s="7" t="s">
        <v>35</v>
      </c>
      <c r="F789" s="6">
        <v>4404.0</v>
      </c>
      <c r="G789" s="6">
        <v>160947.53</v>
      </c>
      <c r="H789" s="6">
        <v>36.55</v>
      </c>
      <c r="I789" s="8">
        <v>36.92041326067211</v>
      </c>
      <c r="J789" s="6">
        <v>162597.5</v>
      </c>
      <c r="K789" s="6">
        <v>-1649.96</v>
      </c>
      <c r="L789" s="6">
        <v>-1.03</v>
      </c>
      <c r="M789" s="6">
        <f t="shared" si="1"/>
        <v>-0.3746503179</v>
      </c>
      <c r="N789" s="6">
        <v>-1.03</v>
      </c>
      <c r="O789" s="7" t="s">
        <v>45</v>
      </c>
      <c r="P789" s="7" t="s">
        <v>46</v>
      </c>
      <c r="Q789" s="7" t="s">
        <v>25</v>
      </c>
      <c r="R789" s="10">
        <v>-207.44</v>
      </c>
      <c r="S789" s="10">
        <v>-1442.52</v>
      </c>
      <c r="T789" s="9" t="s">
        <v>29</v>
      </c>
      <c r="U789" s="9"/>
      <c r="V789" s="9"/>
      <c r="W789" s="9"/>
      <c r="X789" s="9"/>
      <c r="Y789" s="9"/>
      <c r="Z789" s="9"/>
      <c r="AA789" s="9"/>
      <c r="AB789" s="9"/>
    </row>
    <row r="790">
      <c r="A790" s="5">
        <v>42426.0</v>
      </c>
      <c r="B790" s="6">
        <v>2016.0</v>
      </c>
      <c r="C790" s="7" t="s">
        <v>68</v>
      </c>
      <c r="D790" s="7" t="s">
        <v>64</v>
      </c>
      <c r="E790" s="7" t="s">
        <v>37</v>
      </c>
      <c r="F790" s="6">
        <v>4935.0</v>
      </c>
      <c r="G790" s="6">
        <v>188736.25</v>
      </c>
      <c r="H790" s="6">
        <v>38.24</v>
      </c>
      <c r="I790" s="8">
        <v>37.102984802431614</v>
      </c>
      <c r="J790" s="6">
        <v>183103.23</v>
      </c>
      <c r="K790" s="6">
        <v>5633.01</v>
      </c>
      <c r="L790" s="6">
        <v>2.98</v>
      </c>
      <c r="M790" s="6">
        <f t="shared" si="1"/>
        <v>1.141440729</v>
      </c>
      <c r="N790" s="6">
        <v>2.98</v>
      </c>
      <c r="O790" s="7" t="s">
        <v>45</v>
      </c>
      <c r="P790" s="7" t="s">
        <v>46</v>
      </c>
      <c r="Q790" s="7" t="s">
        <v>25</v>
      </c>
      <c r="R790" s="10">
        <v>-1649.96</v>
      </c>
      <c r="S790" s="10">
        <v>7282.98</v>
      </c>
      <c r="T790" s="9" t="s">
        <v>33</v>
      </c>
      <c r="U790" s="9"/>
      <c r="V790" s="9"/>
      <c r="W790" s="9"/>
      <c r="X790" s="9"/>
      <c r="Y790" s="9"/>
      <c r="Z790" s="9"/>
      <c r="AA790" s="9"/>
      <c r="AB790" s="9"/>
    </row>
    <row r="791">
      <c r="A791" s="5">
        <v>42427.0</v>
      </c>
      <c r="B791" s="6">
        <v>2016.0</v>
      </c>
      <c r="C791" s="7" t="s">
        <v>68</v>
      </c>
      <c r="D791" s="7" t="s">
        <v>65</v>
      </c>
      <c r="E791" s="7" t="s">
        <v>39</v>
      </c>
      <c r="F791" s="6">
        <v>5609.0</v>
      </c>
      <c r="G791" s="6">
        <v>215951.51</v>
      </c>
      <c r="H791" s="6">
        <v>38.5</v>
      </c>
      <c r="I791" s="8">
        <v>37.44567480834373</v>
      </c>
      <c r="J791" s="6">
        <v>210032.79</v>
      </c>
      <c r="K791" s="6">
        <v>5918.72</v>
      </c>
      <c r="L791" s="6">
        <v>2.74</v>
      </c>
      <c r="M791" s="6">
        <f t="shared" si="1"/>
        <v>1.055218399</v>
      </c>
      <c r="N791" s="6">
        <v>2.74</v>
      </c>
      <c r="O791" s="7" t="s">
        <v>45</v>
      </c>
      <c r="P791" s="7" t="s">
        <v>46</v>
      </c>
      <c r="Q791" s="7" t="s">
        <v>25</v>
      </c>
      <c r="R791" s="10">
        <v>5633.01</v>
      </c>
      <c r="S791" s="10">
        <v>285.71</v>
      </c>
      <c r="T791" s="9" t="s">
        <v>33</v>
      </c>
      <c r="U791" s="9"/>
      <c r="V791" s="9"/>
      <c r="W791" s="9"/>
      <c r="X791" s="9"/>
      <c r="Y791" s="9"/>
      <c r="Z791" s="9"/>
      <c r="AA791" s="9"/>
      <c r="AB791" s="9"/>
    </row>
    <row r="792">
      <c r="A792" s="5">
        <v>42428.0</v>
      </c>
      <c r="B792" s="6">
        <v>2016.0</v>
      </c>
      <c r="C792" s="7" t="s">
        <v>68</v>
      </c>
      <c r="D792" s="7" t="s">
        <v>66</v>
      </c>
      <c r="E792" s="7" t="s">
        <v>41</v>
      </c>
      <c r="F792" s="6">
        <v>3452.0</v>
      </c>
      <c r="G792" s="6">
        <v>134995.85</v>
      </c>
      <c r="H792" s="6">
        <v>39.11</v>
      </c>
      <c r="I792" s="8">
        <v>37.64157300115875</v>
      </c>
      <c r="J792" s="6">
        <v>129938.71</v>
      </c>
      <c r="K792" s="6">
        <v>5057.15</v>
      </c>
      <c r="L792" s="6">
        <v>3.75</v>
      </c>
      <c r="M792" s="6">
        <f t="shared" si="1"/>
        <v>1.464991309</v>
      </c>
      <c r="N792" s="6">
        <v>3.75</v>
      </c>
      <c r="O792" s="7" t="s">
        <v>45</v>
      </c>
      <c r="P792" s="7" t="s">
        <v>46</v>
      </c>
      <c r="Q792" s="7" t="s">
        <v>25</v>
      </c>
      <c r="R792" s="10">
        <v>5918.72</v>
      </c>
      <c r="S792" s="10">
        <v>-861.57</v>
      </c>
      <c r="T792" s="9" t="s">
        <v>29</v>
      </c>
      <c r="U792" s="9"/>
      <c r="V792" s="9"/>
      <c r="W792" s="9"/>
      <c r="X792" s="9"/>
      <c r="Y792" s="9"/>
      <c r="Z792" s="9"/>
      <c r="AA792" s="9"/>
      <c r="AB792" s="9"/>
    </row>
    <row r="793">
      <c r="A793" s="5">
        <v>42429.0</v>
      </c>
      <c r="B793" s="6">
        <v>2016.0</v>
      </c>
      <c r="C793" s="7" t="s">
        <v>68</v>
      </c>
      <c r="D793" s="7" t="s">
        <v>67</v>
      </c>
      <c r="E793" s="7" t="s">
        <v>22</v>
      </c>
      <c r="F793" s="6">
        <v>4270.0</v>
      </c>
      <c r="G793" s="6">
        <v>163079.38</v>
      </c>
      <c r="H793" s="6">
        <v>38.19</v>
      </c>
      <c r="I793" s="8">
        <v>37.54861592505855</v>
      </c>
      <c r="J793" s="6">
        <v>160332.59</v>
      </c>
      <c r="K793" s="6">
        <v>2746.79</v>
      </c>
      <c r="L793" s="6">
        <v>1.68</v>
      </c>
      <c r="M793" s="6">
        <f t="shared" si="1"/>
        <v>0.6432763466</v>
      </c>
      <c r="N793" s="6">
        <v>1.68</v>
      </c>
      <c r="O793" s="7" t="s">
        <v>45</v>
      </c>
      <c r="P793" s="7" t="s">
        <v>46</v>
      </c>
      <c r="Q793" s="7" t="s">
        <v>25</v>
      </c>
      <c r="R793" s="10">
        <v>5057.15</v>
      </c>
      <c r="S793" s="10">
        <v>-2310.36</v>
      </c>
      <c r="T793" s="9" t="s">
        <v>29</v>
      </c>
      <c r="U793" s="9"/>
      <c r="V793" s="9"/>
      <c r="W793" s="9"/>
      <c r="X793" s="9"/>
      <c r="Y793" s="9"/>
      <c r="Z793" s="9"/>
      <c r="AA793" s="9"/>
      <c r="AB793" s="9"/>
    </row>
    <row r="794">
      <c r="A794" s="5">
        <v>42430.0</v>
      </c>
      <c r="B794" s="6">
        <v>2016.0</v>
      </c>
      <c r="C794" s="7" t="s">
        <v>71</v>
      </c>
      <c r="D794" s="7" t="s">
        <v>31</v>
      </c>
      <c r="E794" s="7" t="s">
        <v>28</v>
      </c>
      <c r="F794" s="6">
        <v>4719.0</v>
      </c>
      <c r="G794" s="6">
        <v>180828.67</v>
      </c>
      <c r="H794" s="6">
        <v>38.32</v>
      </c>
      <c r="I794" s="8">
        <v>38.77142191142191</v>
      </c>
      <c r="J794" s="6">
        <v>182962.34</v>
      </c>
      <c r="K794" s="6">
        <v>-2133.66</v>
      </c>
      <c r="L794" s="6">
        <v>-1.18</v>
      </c>
      <c r="M794" s="6">
        <f t="shared" si="1"/>
        <v>-0.4521424031</v>
      </c>
      <c r="N794" s="6">
        <v>-1.18</v>
      </c>
      <c r="O794" s="7" t="s">
        <v>45</v>
      </c>
      <c r="P794" s="7" t="s">
        <v>46</v>
      </c>
      <c r="Q794" s="7" t="s">
        <v>25</v>
      </c>
      <c r="R794" s="10">
        <v>2746.79</v>
      </c>
      <c r="S794" s="10">
        <v>-4880.45</v>
      </c>
      <c r="T794" s="9" t="s">
        <v>29</v>
      </c>
      <c r="U794" s="9"/>
      <c r="V794" s="9"/>
      <c r="W794" s="9"/>
      <c r="X794" s="9"/>
      <c r="Y794" s="9"/>
      <c r="Z794" s="9"/>
      <c r="AA794" s="9"/>
      <c r="AB794" s="9"/>
    </row>
    <row r="795">
      <c r="A795" s="5">
        <v>42431.0</v>
      </c>
      <c r="B795" s="6">
        <v>2016.0</v>
      </c>
      <c r="C795" s="7" t="s">
        <v>71</v>
      </c>
      <c r="D795" s="7" t="s">
        <v>34</v>
      </c>
      <c r="E795" s="7" t="s">
        <v>32</v>
      </c>
      <c r="F795" s="6">
        <v>4451.0</v>
      </c>
      <c r="G795" s="6">
        <v>171196.18</v>
      </c>
      <c r="H795" s="6">
        <v>38.46</v>
      </c>
      <c r="I795" s="8">
        <v>39.188649741631096</v>
      </c>
      <c r="J795" s="6">
        <v>174428.68</v>
      </c>
      <c r="K795" s="6">
        <v>-3232.51</v>
      </c>
      <c r="L795" s="6">
        <v>-1.89</v>
      </c>
      <c r="M795" s="6">
        <f t="shared" si="1"/>
        <v>-0.7262435408</v>
      </c>
      <c r="N795" s="6">
        <v>-1.89</v>
      </c>
      <c r="O795" s="7" t="s">
        <v>45</v>
      </c>
      <c r="P795" s="7" t="s">
        <v>46</v>
      </c>
      <c r="Q795" s="7" t="s">
        <v>25</v>
      </c>
      <c r="R795" s="10">
        <v>-2133.66</v>
      </c>
      <c r="S795" s="10">
        <v>-1098.84</v>
      </c>
      <c r="T795" s="9" t="s">
        <v>29</v>
      </c>
      <c r="U795" s="9"/>
      <c r="V795" s="9"/>
      <c r="W795" s="9"/>
      <c r="X795" s="9"/>
      <c r="Y795" s="9"/>
      <c r="Z795" s="9"/>
      <c r="AA795" s="9"/>
      <c r="AB795" s="9"/>
    </row>
    <row r="796">
      <c r="A796" s="5">
        <v>42432.0</v>
      </c>
      <c r="B796" s="6">
        <v>2016.0</v>
      </c>
      <c r="C796" s="7" t="s">
        <v>71</v>
      </c>
      <c r="D796" s="7" t="s">
        <v>36</v>
      </c>
      <c r="E796" s="7" t="s">
        <v>35</v>
      </c>
      <c r="F796" s="6">
        <v>3364.0</v>
      </c>
      <c r="G796" s="6">
        <v>129719.05</v>
      </c>
      <c r="H796" s="6">
        <v>38.56</v>
      </c>
      <c r="I796" s="8">
        <v>39.227684304399524</v>
      </c>
      <c r="J796" s="6">
        <v>131961.93</v>
      </c>
      <c r="K796" s="6">
        <v>-2242.88</v>
      </c>
      <c r="L796" s="6">
        <v>-1.73</v>
      </c>
      <c r="M796" s="6">
        <f t="shared" si="1"/>
        <v>-0.6667300832</v>
      </c>
      <c r="N796" s="6">
        <v>-1.73</v>
      </c>
      <c r="O796" s="7" t="s">
        <v>45</v>
      </c>
      <c r="P796" s="7" t="s">
        <v>46</v>
      </c>
      <c r="Q796" s="7" t="s">
        <v>25</v>
      </c>
      <c r="R796" s="10">
        <v>-3232.51</v>
      </c>
      <c r="S796" s="10">
        <v>989.62</v>
      </c>
      <c r="T796" s="9" t="s">
        <v>33</v>
      </c>
      <c r="U796" s="9"/>
      <c r="V796" s="9"/>
      <c r="W796" s="9"/>
      <c r="X796" s="9"/>
      <c r="Y796" s="9"/>
      <c r="Z796" s="9"/>
      <c r="AA796" s="9"/>
      <c r="AB796" s="9"/>
    </row>
    <row r="797">
      <c r="A797" s="5">
        <v>42433.0</v>
      </c>
      <c r="B797" s="6">
        <v>2016.0</v>
      </c>
      <c r="C797" s="7" t="s">
        <v>71</v>
      </c>
      <c r="D797" s="7" t="s">
        <v>38</v>
      </c>
      <c r="E797" s="7" t="s">
        <v>37</v>
      </c>
      <c r="F797" s="6">
        <v>3665.0</v>
      </c>
      <c r="G797" s="6">
        <v>142127.64</v>
      </c>
      <c r="H797" s="6">
        <v>38.78</v>
      </c>
      <c r="I797" s="8">
        <v>39.301339699863576</v>
      </c>
      <c r="J797" s="6">
        <v>144039.41</v>
      </c>
      <c r="K797" s="6">
        <v>-1911.77</v>
      </c>
      <c r="L797" s="6">
        <v>-1.35</v>
      </c>
      <c r="M797" s="6">
        <f t="shared" si="1"/>
        <v>-0.5216289222</v>
      </c>
      <c r="N797" s="6">
        <v>-1.35</v>
      </c>
      <c r="O797" s="7" t="s">
        <v>45</v>
      </c>
      <c r="P797" s="7" t="s">
        <v>46</v>
      </c>
      <c r="Q797" s="7" t="s">
        <v>25</v>
      </c>
      <c r="R797" s="10">
        <v>-2242.88</v>
      </c>
      <c r="S797" s="10">
        <v>331.11</v>
      </c>
      <c r="T797" s="9" t="s">
        <v>33</v>
      </c>
      <c r="U797" s="9"/>
      <c r="V797" s="9"/>
      <c r="W797" s="9"/>
      <c r="X797" s="9"/>
      <c r="Y797" s="9"/>
      <c r="Z797" s="9"/>
      <c r="AA797" s="9"/>
      <c r="AB797" s="9"/>
    </row>
    <row r="798">
      <c r="A798" s="5">
        <v>42434.0</v>
      </c>
      <c r="B798" s="6">
        <v>2016.0</v>
      </c>
      <c r="C798" s="7" t="s">
        <v>71</v>
      </c>
      <c r="D798" s="7" t="s">
        <v>40</v>
      </c>
      <c r="E798" s="7" t="s">
        <v>39</v>
      </c>
      <c r="F798" s="6">
        <v>3889.0</v>
      </c>
      <c r="G798" s="6">
        <v>152124.41</v>
      </c>
      <c r="H798" s="6">
        <v>39.12</v>
      </c>
      <c r="I798" s="8">
        <v>39.438804319876574</v>
      </c>
      <c r="J798" s="6">
        <v>153377.51</v>
      </c>
      <c r="K798" s="6">
        <v>-1253.1</v>
      </c>
      <c r="L798" s="6">
        <v>-0.82</v>
      </c>
      <c r="M798" s="6">
        <f t="shared" si="1"/>
        <v>-0.3222165081</v>
      </c>
      <c r="N798" s="6">
        <v>-0.82</v>
      </c>
      <c r="O798" s="7" t="s">
        <v>45</v>
      </c>
      <c r="P798" s="7" t="s">
        <v>46</v>
      </c>
      <c r="Q798" s="7" t="s">
        <v>25</v>
      </c>
      <c r="R798" s="10">
        <v>-1911.77</v>
      </c>
      <c r="S798" s="10">
        <v>658.67</v>
      </c>
      <c r="T798" s="9" t="s">
        <v>33</v>
      </c>
      <c r="U798" s="9"/>
      <c r="V798" s="9"/>
      <c r="W798" s="9"/>
      <c r="X798" s="9"/>
      <c r="Y798" s="9"/>
      <c r="Z798" s="9"/>
      <c r="AA798" s="9"/>
      <c r="AB798" s="9"/>
    </row>
    <row r="799">
      <c r="A799" s="5">
        <v>42435.0</v>
      </c>
      <c r="B799" s="6">
        <v>2016.0</v>
      </c>
      <c r="C799" s="7" t="s">
        <v>71</v>
      </c>
      <c r="D799" s="7" t="s">
        <v>42</v>
      </c>
      <c r="E799" s="7" t="s">
        <v>41</v>
      </c>
      <c r="F799" s="6">
        <v>1882.0</v>
      </c>
      <c r="G799" s="6">
        <v>74132.79</v>
      </c>
      <c r="H799" s="6">
        <v>39.39</v>
      </c>
      <c r="I799" s="8">
        <v>39.49642933049947</v>
      </c>
      <c r="J799" s="6">
        <v>74332.28</v>
      </c>
      <c r="K799" s="6">
        <v>-199.49</v>
      </c>
      <c r="L799" s="6">
        <v>-0.27</v>
      </c>
      <c r="M799" s="6">
        <f t="shared" si="1"/>
        <v>-0.1059989373</v>
      </c>
      <c r="N799" s="6">
        <v>-0.27</v>
      </c>
      <c r="O799" s="7" t="s">
        <v>45</v>
      </c>
      <c r="P799" s="7" t="s">
        <v>46</v>
      </c>
      <c r="Q799" s="7" t="s">
        <v>25</v>
      </c>
      <c r="R799" s="10">
        <v>-1253.1</v>
      </c>
      <c r="S799" s="10">
        <v>1053.61</v>
      </c>
      <c r="T799" s="9" t="s">
        <v>33</v>
      </c>
      <c r="U799" s="9"/>
      <c r="V799" s="9"/>
      <c r="W799" s="9"/>
      <c r="X799" s="9"/>
      <c r="Y799" s="9"/>
      <c r="Z799" s="9"/>
      <c r="AA799" s="9"/>
      <c r="AB799" s="9"/>
    </row>
    <row r="800">
      <c r="A800" s="5">
        <v>42436.0</v>
      </c>
      <c r="B800" s="6">
        <v>2016.0</v>
      </c>
      <c r="C800" s="7" t="s">
        <v>71</v>
      </c>
      <c r="D800" s="7" t="s">
        <v>43</v>
      </c>
      <c r="E800" s="7" t="s">
        <v>22</v>
      </c>
      <c r="F800" s="6">
        <v>2405.0</v>
      </c>
      <c r="G800" s="6">
        <v>91143.03</v>
      </c>
      <c r="H800" s="6">
        <v>37.9</v>
      </c>
      <c r="I800" s="8">
        <v>39.570698544698544</v>
      </c>
      <c r="J800" s="6">
        <v>95167.53</v>
      </c>
      <c r="K800" s="6">
        <v>-4024.5</v>
      </c>
      <c r="L800" s="6">
        <v>-4.42</v>
      </c>
      <c r="M800" s="6">
        <f t="shared" si="1"/>
        <v>-1.673388773</v>
      </c>
      <c r="N800" s="6">
        <v>-4.42</v>
      </c>
      <c r="O800" s="7" t="s">
        <v>45</v>
      </c>
      <c r="P800" s="7" t="s">
        <v>46</v>
      </c>
      <c r="Q800" s="7" t="s">
        <v>25</v>
      </c>
      <c r="R800" s="10">
        <v>-199.49</v>
      </c>
      <c r="S800" s="10">
        <v>-3825.01</v>
      </c>
      <c r="T800" s="9" t="s">
        <v>29</v>
      </c>
      <c r="U800" s="9"/>
      <c r="V800" s="9"/>
      <c r="W800" s="9"/>
      <c r="X800" s="9"/>
      <c r="Y800" s="9"/>
      <c r="Z800" s="9"/>
      <c r="AA800" s="9"/>
      <c r="AB800" s="9"/>
    </row>
    <row r="801">
      <c r="A801" s="5">
        <v>42437.0</v>
      </c>
      <c r="B801" s="6">
        <v>2016.0</v>
      </c>
      <c r="C801" s="7" t="s">
        <v>71</v>
      </c>
      <c r="D801" s="7" t="s">
        <v>44</v>
      </c>
      <c r="E801" s="7" t="s">
        <v>28</v>
      </c>
      <c r="F801" s="6">
        <v>1577.0</v>
      </c>
      <c r="G801" s="6">
        <v>60528.09</v>
      </c>
      <c r="H801" s="6">
        <v>38.38</v>
      </c>
      <c r="I801" s="8">
        <v>39.53258084971465</v>
      </c>
      <c r="J801" s="6">
        <v>62342.88</v>
      </c>
      <c r="K801" s="6">
        <v>-1814.79</v>
      </c>
      <c r="L801" s="6">
        <v>-3.0</v>
      </c>
      <c r="M801" s="6">
        <f t="shared" si="1"/>
        <v>-1.150786303</v>
      </c>
      <c r="N801" s="6">
        <v>-3.0</v>
      </c>
      <c r="O801" s="7" t="s">
        <v>45</v>
      </c>
      <c r="P801" s="7" t="s">
        <v>46</v>
      </c>
      <c r="Q801" s="7" t="s">
        <v>25</v>
      </c>
      <c r="R801" s="10">
        <v>-4024.5</v>
      </c>
      <c r="S801" s="10">
        <v>2209.71</v>
      </c>
      <c r="T801" s="9" t="s">
        <v>33</v>
      </c>
      <c r="U801" s="9"/>
      <c r="V801" s="9"/>
      <c r="W801" s="9"/>
      <c r="X801" s="9"/>
      <c r="Y801" s="9"/>
      <c r="Z801" s="9"/>
      <c r="AA801" s="9"/>
      <c r="AB801" s="9"/>
    </row>
    <row r="802">
      <c r="A802" s="5">
        <v>42438.0</v>
      </c>
      <c r="B802" s="6">
        <v>2016.0</v>
      </c>
      <c r="C802" s="7" t="s">
        <v>71</v>
      </c>
      <c r="D802" s="7" t="s">
        <v>47</v>
      </c>
      <c r="E802" s="7" t="s">
        <v>32</v>
      </c>
      <c r="F802" s="6">
        <v>913.0</v>
      </c>
      <c r="G802" s="6">
        <v>38340.6</v>
      </c>
      <c r="H802" s="6">
        <v>41.99</v>
      </c>
      <c r="I802" s="8">
        <v>39.34100766703176</v>
      </c>
      <c r="J802" s="6">
        <v>35918.34</v>
      </c>
      <c r="K802" s="6">
        <v>2422.26</v>
      </c>
      <c r="L802" s="6">
        <v>6.32</v>
      </c>
      <c r="M802" s="6">
        <f t="shared" si="1"/>
        <v>2.653077766</v>
      </c>
      <c r="N802" s="6">
        <v>6.32</v>
      </c>
      <c r="O802" s="7" t="s">
        <v>45</v>
      </c>
      <c r="P802" s="7" t="s">
        <v>46</v>
      </c>
      <c r="Q802" s="7" t="s">
        <v>25</v>
      </c>
      <c r="R802" s="10">
        <v>-1814.79</v>
      </c>
      <c r="S802" s="10">
        <v>4237.05</v>
      </c>
      <c r="T802" s="9" t="s">
        <v>33</v>
      </c>
      <c r="U802" s="9"/>
      <c r="V802" s="9"/>
      <c r="W802" s="9"/>
      <c r="X802" s="9"/>
      <c r="Y802" s="9"/>
      <c r="Z802" s="9"/>
      <c r="AA802" s="9"/>
      <c r="AB802" s="9"/>
    </row>
    <row r="803">
      <c r="A803" s="5">
        <v>42439.0</v>
      </c>
      <c r="B803" s="6">
        <v>2016.0</v>
      </c>
      <c r="C803" s="7" t="s">
        <v>71</v>
      </c>
      <c r="D803" s="7" t="s">
        <v>48</v>
      </c>
      <c r="E803" s="7" t="s">
        <v>35</v>
      </c>
      <c r="F803" s="6">
        <v>892.0</v>
      </c>
      <c r="G803" s="6">
        <v>37453.01</v>
      </c>
      <c r="H803" s="6">
        <v>41.99</v>
      </c>
      <c r="I803" s="8">
        <v>39.35896860986547</v>
      </c>
      <c r="J803" s="6">
        <v>35108.2</v>
      </c>
      <c r="K803" s="6">
        <v>2344.81</v>
      </c>
      <c r="L803" s="6">
        <v>6.26</v>
      </c>
      <c r="M803" s="6">
        <f t="shared" si="1"/>
        <v>2.628710762</v>
      </c>
      <c r="N803" s="6">
        <v>6.26</v>
      </c>
      <c r="O803" s="7" t="s">
        <v>45</v>
      </c>
      <c r="P803" s="7" t="s">
        <v>46</v>
      </c>
      <c r="Q803" s="7" t="s">
        <v>25</v>
      </c>
      <c r="R803" s="10">
        <v>2422.26</v>
      </c>
      <c r="S803" s="10">
        <v>-77.46</v>
      </c>
      <c r="T803" s="9" t="s">
        <v>29</v>
      </c>
      <c r="U803" s="9"/>
      <c r="V803" s="9"/>
      <c r="W803" s="9"/>
      <c r="X803" s="9"/>
      <c r="Y803" s="9"/>
      <c r="Z803" s="9"/>
      <c r="AA803" s="9"/>
      <c r="AB803" s="9"/>
    </row>
    <row r="804">
      <c r="A804" s="5">
        <v>42440.0</v>
      </c>
      <c r="B804" s="6">
        <v>2016.0</v>
      </c>
      <c r="C804" s="7" t="s">
        <v>71</v>
      </c>
      <c r="D804" s="7" t="s">
        <v>49</v>
      </c>
      <c r="E804" s="7" t="s">
        <v>37</v>
      </c>
      <c r="F804" s="6">
        <v>1855.0</v>
      </c>
      <c r="G804" s="6">
        <v>77997.05</v>
      </c>
      <c r="H804" s="6">
        <v>42.05</v>
      </c>
      <c r="I804" s="8">
        <v>39.38095956873315</v>
      </c>
      <c r="J804" s="6">
        <v>73051.68</v>
      </c>
      <c r="K804" s="6">
        <v>4945.37</v>
      </c>
      <c r="L804" s="6">
        <v>6.34</v>
      </c>
      <c r="M804" s="6">
        <f t="shared" si="1"/>
        <v>2.665967655</v>
      </c>
      <c r="N804" s="6">
        <v>6.34</v>
      </c>
      <c r="O804" s="7" t="s">
        <v>45</v>
      </c>
      <c r="P804" s="7" t="s">
        <v>46</v>
      </c>
      <c r="Q804" s="7" t="s">
        <v>25</v>
      </c>
      <c r="R804" s="10">
        <v>2344.81</v>
      </c>
      <c r="S804" s="10">
        <v>2600.56</v>
      </c>
      <c r="T804" s="9" t="s">
        <v>33</v>
      </c>
      <c r="U804" s="9"/>
      <c r="V804" s="9"/>
      <c r="W804" s="9"/>
      <c r="X804" s="9"/>
      <c r="Y804" s="9"/>
      <c r="Z804" s="9"/>
      <c r="AA804" s="9"/>
      <c r="AB804" s="9"/>
    </row>
    <row r="805">
      <c r="A805" s="5">
        <v>42441.0</v>
      </c>
      <c r="B805" s="6">
        <v>2016.0</v>
      </c>
      <c r="C805" s="7" t="s">
        <v>71</v>
      </c>
      <c r="D805" s="7" t="s">
        <v>50</v>
      </c>
      <c r="E805" s="7" t="s">
        <v>39</v>
      </c>
      <c r="F805" s="6">
        <v>1897.0</v>
      </c>
      <c r="G805" s="6">
        <v>79752.28</v>
      </c>
      <c r="H805" s="6">
        <v>42.04</v>
      </c>
      <c r="I805" s="8">
        <v>39.51651027938851</v>
      </c>
      <c r="J805" s="6">
        <v>74962.82</v>
      </c>
      <c r="K805" s="6">
        <v>4789.47</v>
      </c>
      <c r="L805" s="6">
        <v>6.01</v>
      </c>
      <c r="M805" s="6">
        <f t="shared" si="1"/>
        <v>2.524760148</v>
      </c>
      <c r="N805" s="6">
        <v>6.01</v>
      </c>
      <c r="O805" s="7" t="s">
        <v>45</v>
      </c>
      <c r="P805" s="7" t="s">
        <v>46</v>
      </c>
      <c r="Q805" s="7" t="s">
        <v>25</v>
      </c>
      <c r="R805" s="10">
        <v>4945.37</v>
      </c>
      <c r="S805" s="10">
        <v>-155.9</v>
      </c>
      <c r="T805" s="9" t="s">
        <v>29</v>
      </c>
      <c r="U805" s="9"/>
      <c r="V805" s="9"/>
      <c r="W805" s="9"/>
      <c r="X805" s="9"/>
      <c r="Y805" s="9"/>
      <c r="Z805" s="9"/>
      <c r="AA805" s="9"/>
      <c r="AB805" s="9"/>
    </row>
    <row r="806">
      <c r="A806" s="5">
        <v>42442.0</v>
      </c>
      <c r="B806" s="6">
        <v>2016.0</v>
      </c>
      <c r="C806" s="7" t="s">
        <v>71</v>
      </c>
      <c r="D806" s="7" t="s">
        <v>51</v>
      </c>
      <c r="E806" s="7" t="s">
        <v>41</v>
      </c>
      <c r="F806" s="6">
        <v>883.0</v>
      </c>
      <c r="G806" s="6">
        <v>37155.59</v>
      </c>
      <c r="H806" s="6">
        <v>42.08</v>
      </c>
      <c r="I806" s="8">
        <v>39.59550396375991</v>
      </c>
      <c r="J806" s="6">
        <v>34962.83</v>
      </c>
      <c r="K806" s="6">
        <v>2192.76</v>
      </c>
      <c r="L806" s="6">
        <v>5.9</v>
      </c>
      <c r="M806" s="6">
        <f t="shared" si="1"/>
        <v>2.483306908</v>
      </c>
      <c r="N806" s="6">
        <v>5.9</v>
      </c>
      <c r="O806" s="7" t="s">
        <v>45</v>
      </c>
      <c r="P806" s="7" t="s">
        <v>46</v>
      </c>
      <c r="Q806" s="7" t="s">
        <v>25</v>
      </c>
      <c r="R806" s="10">
        <v>4789.47</v>
      </c>
      <c r="S806" s="10">
        <v>-2596.71</v>
      </c>
      <c r="T806" s="9" t="s">
        <v>29</v>
      </c>
      <c r="U806" s="9"/>
      <c r="V806" s="9"/>
      <c r="W806" s="9"/>
      <c r="X806" s="9"/>
      <c r="Y806" s="9"/>
      <c r="Z806" s="9"/>
      <c r="AA806" s="9"/>
      <c r="AB806" s="9"/>
    </row>
    <row r="807">
      <c r="A807" s="5">
        <v>42443.0</v>
      </c>
      <c r="B807" s="6">
        <v>2016.0</v>
      </c>
      <c r="C807" s="7" t="s">
        <v>71</v>
      </c>
      <c r="D807" s="7" t="s">
        <v>52</v>
      </c>
      <c r="E807" s="7" t="s">
        <v>22</v>
      </c>
      <c r="F807" s="6">
        <v>1071.0</v>
      </c>
      <c r="G807" s="6">
        <v>45046.51</v>
      </c>
      <c r="H807" s="6">
        <v>42.06</v>
      </c>
      <c r="I807" s="8">
        <v>39.5593370681606</v>
      </c>
      <c r="J807" s="6">
        <v>42368.05</v>
      </c>
      <c r="K807" s="6">
        <v>2678.47</v>
      </c>
      <c r="L807" s="6">
        <v>5.95</v>
      </c>
      <c r="M807" s="6">
        <f t="shared" si="1"/>
        <v>2.500905696</v>
      </c>
      <c r="N807" s="6">
        <v>5.95</v>
      </c>
      <c r="O807" s="7" t="s">
        <v>45</v>
      </c>
      <c r="P807" s="7" t="s">
        <v>46</v>
      </c>
      <c r="Q807" s="7" t="s">
        <v>25</v>
      </c>
      <c r="R807" s="10">
        <v>2192.76</v>
      </c>
      <c r="S807" s="10">
        <v>485.71</v>
      </c>
      <c r="T807" s="9" t="s">
        <v>33</v>
      </c>
      <c r="U807" s="9"/>
      <c r="V807" s="9"/>
      <c r="W807" s="9"/>
      <c r="X807" s="9"/>
      <c r="Y807" s="9"/>
      <c r="Z807" s="9"/>
      <c r="AA807" s="9"/>
      <c r="AB807" s="9"/>
    </row>
    <row r="808">
      <c r="A808" s="5">
        <v>42444.0</v>
      </c>
      <c r="B808" s="6">
        <v>2016.0</v>
      </c>
      <c r="C808" s="7" t="s">
        <v>71</v>
      </c>
      <c r="D808" s="7" t="s">
        <v>53</v>
      </c>
      <c r="E808" s="7" t="s">
        <v>28</v>
      </c>
      <c r="F808" s="6">
        <v>1320.0</v>
      </c>
      <c r="G808" s="6">
        <v>55489.33</v>
      </c>
      <c r="H808" s="6">
        <v>42.04</v>
      </c>
      <c r="I808" s="8">
        <v>39.59322727272727</v>
      </c>
      <c r="J808" s="6">
        <v>52263.06</v>
      </c>
      <c r="K808" s="6">
        <v>3226.28</v>
      </c>
      <c r="L808" s="6">
        <v>5.81</v>
      </c>
      <c r="M808" s="6">
        <f t="shared" si="1"/>
        <v>2.444151515</v>
      </c>
      <c r="N808" s="6">
        <v>5.81</v>
      </c>
      <c r="O808" s="7" t="s">
        <v>45</v>
      </c>
      <c r="P808" s="7" t="s">
        <v>46</v>
      </c>
      <c r="Q808" s="7" t="s">
        <v>25</v>
      </c>
      <c r="R808" s="10">
        <v>2678.47</v>
      </c>
      <c r="S808" s="10">
        <v>547.81</v>
      </c>
      <c r="T808" s="9" t="s">
        <v>33</v>
      </c>
      <c r="U808" s="9"/>
      <c r="V808" s="9"/>
      <c r="W808" s="9"/>
      <c r="X808" s="9"/>
      <c r="Y808" s="9"/>
      <c r="Z808" s="9"/>
      <c r="AA808" s="9"/>
      <c r="AB808" s="9"/>
    </row>
    <row r="809">
      <c r="A809" s="5">
        <v>42445.0</v>
      </c>
      <c r="B809" s="6">
        <v>2016.0</v>
      </c>
      <c r="C809" s="7" t="s">
        <v>71</v>
      </c>
      <c r="D809" s="7" t="s">
        <v>54</v>
      </c>
      <c r="E809" s="7" t="s">
        <v>32</v>
      </c>
      <c r="F809" s="6">
        <v>997.0</v>
      </c>
      <c r="G809" s="6">
        <v>41893.3</v>
      </c>
      <c r="H809" s="6">
        <v>42.02</v>
      </c>
      <c r="I809" s="8">
        <v>39.61430290872618</v>
      </c>
      <c r="J809" s="6">
        <v>39495.46</v>
      </c>
      <c r="K809" s="6">
        <v>2397.85</v>
      </c>
      <c r="L809" s="6">
        <v>5.72</v>
      </c>
      <c r="M809" s="6">
        <f t="shared" si="1"/>
        <v>2.405065196</v>
      </c>
      <c r="N809" s="6">
        <v>5.72</v>
      </c>
      <c r="O809" s="7" t="s">
        <v>45</v>
      </c>
      <c r="P809" s="7" t="s">
        <v>46</v>
      </c>
      <c r="Q809" s="7" t="s">
        <v>25</v>
      </c>
      <c r="R809" s="10">
        <v>3226.28</v>
      </c>
      <c r="S809" s="10">
        <v>-828.43</v>
      </c>
      <c r="T809" s="9" t="s">
        <v>29</v>
      </c>
      <c r="U809" s="9"/>
      <c r="V809" s="9"/>
      <c r="W809" s="9"/>
      <c r="X809" s="9"/>
      <c r="Y809" s="9"/>
      <c r="Z809" s="9"/>
      <c r="AA809" s="9"/>
      <c r="AB809" s="9"/>
    </row>
    <row r="810">
      <c r="A810" s="5">
        <v>42446.0</v>
      </c>
      <c r="B810" s="6">
        <v>2016.0</v>
      </c>
      <c r="C810" s="7" t="s">
        <v>71</v>
      </c>
      <c r="D810" s="7" t="s">
        <v>55</v>
      </c>
      <c r="E810" s="7" t="s">
        <v>35</v>
      </c>
      <c r="F810" s="6">
        <v>817.0</v>
      </c>
      <c r="G810" s="6">
        <v>34348.5</v>
      </c>
      <c r="H810" s="6">
        <v>42.04</v>
      </c>
      <c r="I810" s="8">
        <v>39.52611995104039</v>
      </c>
      <c r="J810" s="6">
        <v>32292.84</v>
      </c>
      <c r="K810" s="6">
        <v>2055.67</v>
      </c>
      <c r="L810" s="6">
        <v>5.98</v>
      </c>
      <c r="M810" s="6">
        <f t="shared" si="1"/>
        <v>2.516119951</v>
      </c>
      <c r="N810" s="6">
        <v>5.98</v>
      </c>
      <c r="O810" s="7" t="s">
        <v>45</v>
      </c>
      <c r="P810" s="7" t="s">
        <v>46</v>
      </c>
      <c r="Q810" s="7" t="s">
        <v>25</v>
      </c>
      <c r="R810" s="10">
        <v>2397.85</v>
      </c>
      <c r="S810" s="10">
        <v>-342.18</v>
      </c>
      <c r="T810" s="9" t="s">
        <v>29</v>
      </c>
      <c r="U810" s="9"/>
      <c r="V810" s="9"/>
      <c r="W810" s="9"/>
      <c r="X810" s="9"/>
      <c r="Y810" s="9"/>
      <c r="Z810" s="9"/>
      <c r="AA810" s="9"/>
      <c r="AB810" s="9"/>
    </row>
    <row r="811">
      <c r="A811" s="5">
        <v>42447.0</v>
      </c>
      <c r="B811" s="6">
        <v>2016.0</v>
      </c>
      <c r="C811" s="7" t="s">
        <v>71</v>
      </c>
      <c r="D811" s="7" t="s">
        <v>56</v>
      </c>
      <c r="E811" s="7" t="s">
        <v>37</v>
      </c>
      <c r="F811" s="6">
        <v>1866.0</v>
      </c>
      <c r="G811" s="6">
        <v>78276.83</v>
      </c>
      <c r="H811" s="6">
        <v>41.95</v>
      </c>
      <c r="I811" s="8">
        <v>39.52130760986066</v>
      </c>
      <c r="J811" s="6">
        <v>73746.76</v>
      </c>
      <c r="K811" s="6">
        <v>4530.07</v>
      </c>
      <c r="L811" s="6">
        <v>5.79</v>
      </c>
      <c r="M811" s="6">
        <f t="shared" si="1"/>
        <v>2.427690247</v>
      </c>
      <c r="N811" s="6">
        <v>5.79</v>
      </c>
      <c r="O811" s="7" t="s">
        <v>45</v>
      </c>
      <c r="P811" s="7" t="s">
        <v>46</v>
      </c>
      <c r="Q811" s="7" t="s">
        <v>25</v>
      </c>
      <c r="R811" s="10">
        <v>2055.67</v>
      </c>
      <c r="S811" s="10">
        <v>2474.41</v>
      </c>
      <c r="T811" s="9" t="s">
        <v>33</v>
      </c>
      <c r="U811" s="9"/>
      <c r="V811" s="9"/>
      <c r="W811" s="9"/>
      <c r="X811" s="9"/>
      <c r="Y811" s="9"/>
      <c r="Z811" s="9"/>
      <c r="AA811" s="9"/>
      <c r="AB811" s="9"/>
    </row>
    <row r="812">
      <c r="A812" s="5">
        <v>42448.0</v>
      </c>
      <c r="B812" s="6">
        <v>2016.0</v>
      </c>
      <c r="C812" s="7" t="s">
        <v>71</v>
      </c>
      <c r="D812" s="7" t="s">
        <v>57</v>
      </c>
      <c r="E812" s="7" t="s">
        <v>39</v>
      </c>
      <c r="F812" s="6">
        <v>2211.0</v>
      </c>
      <c r="G812" s="6">
        <v>92851.4</v>
      </c>
      <c r="H812" s="6">
        <v>42.0</v>
      </c>
      <c r="I812" s="8">
        <v>39.552948891904116</v>
      </c>
      <c r="J812" s="6">
        <v>87451.57</v>
      </c>
      <c r="K812" s="6">
        <v>5399.84</v>
      </c>
      <c r="L812" s="6">
        <v>5.82</v>
      </c>
      <c r="M812" s="6">
        <f t="shared" si="1"/>
        <v>2.44226142</v>
      </c>
      <c r="N812" s="6">
        <v>5.82</v>
      </c>
      <c r="O812" s="7" t="s">
        <v>45</v>
      </c>
      <c r="P812" s="7" t="s">
        <v>46</v>
      </c>
      <c r="Q812" s="7" t="s">
        <v>25</v>
      </c>
      <c r="R812" s="10">
        <v>4530.07</v>
      </c>
      <c r="S812" s="10">
        <v>869.76</v>
      </c>
      <c r="T812" s="9" t="s">
        <v>33</v>
      </c>
      <c r="U812" s="9"/>
      <c r="V812" s="9"/>
      <c r="W812" s="9"/>
      <c r="X812" s="9"/>
      <c r="Y812" s="9"/>
      <c r="Z812" s="9"/>
      <c r="AA812" s="9"/>
      <c r="AB812" s="9"/>
    </row>
    <row r="813">
      <c r="A813" s="5">
        <v>42449.0</v>
      </c>
      <c r="B813" s="6">
        <v>2016.0</v>
      </c>
      <c r="C813" s="7" t="s">
        <v>71</v>
      </c>
      <c r="D813" s="7" t="s">
        <v>58</v>
      </c>
      <c r="E813" s="7" t="s">
        <v>41</v>
      </c>
      <c r="F813" s="6">
        <v>1304.0</v>
      </c>
      <c r="G813" s="6">
        <v>54845.79</v>
      </c>
      <c r="H813" s="6">
        <v>42.06</v>
      </c>
      <c r="I813" s="8">
        <v>39.590115030674845</v>
      </c>
      <c r="J813" s="6">
        <v>51625.51</v>
      </c>
      <c r="K813" s="6">
        <v>3220.28</v>
      </c>
      <c r="L813" s="6">
        <v>5.87</v>
      </c>
      <c r="M813" s="6">
        <f t="shared" si="1"/>
        <v>2.469539877</v>
      </c>
      <c r="N813" s="6">
        <v>5.87</v>
      </c>
      <c r="O813" s="7" t="s">
        <v>45</v>
      </c>
      <c r="P813" s="7" t="s">
        <v>46</v>
      </c>
      <c r="Q813" s="7" t="s">
        <v>25</v>
      </c>
      <c r="R813" s="10">
        <v>5399.84</v>
      </c>
      <c r="S813" s="10">
        <v>-2179.56</v>
      </c>
      <c r="T813" s="9" t="s">
        <v>29</v>
      </c>
      <c r="U813" s="9"/>
      <c r="V813" s="9"/>
      <c r="W813" s="9"/>
      <c r="X813" s="9"/>
      <c r="Y813" s="9"/>
      <c r="Z813" s="9"/>
      <c r="AA813" s="9"/>
      <c r="AB813" s="9"/>
    </row>
    <row r="814">
      <c r="A814" s="5">
        <v>42450.0</v>
      </c>
      <c r="B814" s="6">
        <v>2016.0</v>
      </c>
      <c r="C814" s="7" t="s">
        <v>71</v>
      </c>
      <c r="D814" s="7" t="s">
        <v>59</v>
      </c>
      <c r="E814" s="7" t="s">
        <v>22</v>
      </c>
      <c r="F814" s="6">
        <v>1143.0</v>
      </c>
      <c r="G814" s="6">
        <v>48037.8</v>
      </c>
      <c r="H814" s="6">
        <v>42.03</v>
      </c>
      <c r="I814" s="8">
        <v>39.53424321959755</v>
      </c>
      <c r="J814" s="6">
        <v>45187.64</v>
      </c>
      <c r="K814" s="6">
        <v>2850.16</v>
      </c>
      <c r="L814" s="6">
        <v>5.93</v>
      </c>
      <c r="M814" s="6">
        <f t="shared" si="1"/>
        <v>2.493578303</v>
      </c>
      <c r="N814" s="6">
        <v>5.93</v>
      </c>
      <c r="O814" s="7" t="s">
        <v>45</v>
      </c>
      <c r="P814" s="7" t="s">
        <v>46</v>
      </c>
      <c r="Q814" s="7" t="s">
        <v>25</v>
      </c>
      <c r="R814" s="10">
        <v>3220.28</v>
      </c>
      <c r="S814" s="10">
        <v>-370.12</v>
      </c>
      <c r="T814" s="9" t="s">
        <v>29</v>
      </c>
      <c r="U814" s="9"/>
      <c r="V814" s="9"/>
      <c r="W814" s="9"/>
      <c r="X814" s="9"/>
      <c r="Y814" s="9"/>
      <c r="Z814" s="9"/>
      <c r="AA814" s="9"/>
      <c r="AB814" s="9"/>
    </row>
    <row r="815">
      <c r="A815" s="5">
        <v>42451.0</v>
      </c>
      <c r="B815" s="6">
        <v>2016.0</v>
      </c>
      <c r="C815" s="7" t="s">
        <v>71</v>
      </c>
      <c r="D815" s="7" t="s">
        <v>60</v>
      </c>
      <c r="E815" s="7" t="s">
        <v>28</v>
      </c>
      <c r="F815" s="6">
        <v>1573.0</v>
      </c>
      <c r="G815" s="6">
        <v>65905.72</v>
      </c>
      <c r="H815" s="6">
        <v>41.9</v>
      </c>
      <c r="I815" s="8">
        <v>39.43031150667514</v>
      </c>
      <c r="J815" s="6">
        <v>62023.88</v>
      </c>
      <c r="K815" s="6">
        <v>3881.84</v>
      </c>
      <c r="L815" s="6">
        <v>5.89</v>
      </c>
      <c r="M815" s="6">
        <f t="shared" si="1"/>
        <v>2.467794024</v>
      </c>
      <c r="N815" s="6">
        <v>5.89</v>
      </c>
      <c r="O815" s="7" t="s">
        <v>45</v>
      </c>
      <c r="P815" s="7" t="s">
        <v>46</v>
      </c>
      <c r="Q815" s="7" t="s">
        <v>25</v>
      </c>
      <c r="R815" s="10">
        <v>2850.16</v>
      </c>
      <c r="S815" s="10">
        <v>1031.68</v>
      </c>
      <c r="T815" s="9" t="s">
        <v>33</v>
      </c>
      <c r="U815" s="9"/>
      <c r="V815" s="9"/>
      <c r="W815" s="9"/>
      <c r="X815" s="9"/>
      <c r="Y815" s="9"/>
      <c r="Z815" s="9"/>
      <c r="AA815" s="9"/>
      <c r="AB815" s="9"/>
    </row>
    <row r="816">
      <c r="A816" s="5">
        <v>42452.0</v>
      </c>
      <c r="B816" s="6">
        <v>2016.0</v>
      </c>
      <c r="C816" s="7" t="s">
        <v>71</v>
      </c>
      <c r="D816" s="7" t="s">
        <v>61</v>
      </c>
      <c r="E816" s="7" t="s">
        <v>32</v>
      </c>
      <c r="F816" s="6">
        <v>2065.0</v>
      </c>
      <c r="G816" s="6">
        <v>84870.05</v>
      </c>
      <c r="H816" s="6">
        <v>41.1</v>
      </c>
      <c r="I816" s="8">
        <v>39.45415496368039</v>
      </c>
      <c r="J816" s="6">
        <v>81472.83</v>
      </c>
      <c r="K816" s="6">
        <v>3397.22</v>
      </c>
      <c r="L816" s="6">
        <v>4.0</v>
      </c>
      <c r="M816" s="6">
        <f t="shared" si="1"/>
        <v>1.645142857</v>
      </c>
      <c r="N816" s="6">
        <v>4.0</v>
      </c>
      <c r="O816" s="7" t="s">
        <v>45</v>
      </c>
      <c r="P816" s="7" t="s">
        <v>46</v>
      </c>
      <c r="Q816" s="7" t="s">
        <v>25</v>
      </c>
      <c r="R816" s="10">
        <v>3881.84</v>
      </c>
      <c r="S816" s="10">
        <v>-484.62</v>
      </c>
      <c r="T816" s="9" t="s">
        <v>29</v>
      </c>
      <c r="U816" s="9"/>
      <c r="V816" s="9"/>
      <c r="W816" s="9"/>
      <c r="X816" s="9"/>
      <c r="Y816" s="9"/>
      <c r="Z816" s="9"/>
      <c r="AA816" s="9"/>
      <c r="AB816" s="9"/>
    </row>
    <row r="817">
      <c r="A817" s="5">
        <v>42453.0</v>
      </c>
      <c r="B817" s="6">
        <v>2016.0</v>
      </c>
      <c r="C817" s="7" t="s">
        <v>71</v>
      </c>
      <c r="D817" s="7" t="s">
        <v>62</v>
      </c>
      <c r="E817" s="7" t="s">
        <v>35</v>
      </c>
      <c r="F817" s="6">
        <v>6588.0</v>
      </c>
      <c r="G817" s="6">
        <v>262459.51</v>
      </c>
      <c r="H817" s="6">
        <v>39.84</v>
      </c>
      <c r="I817" s="8">
        <v>39.35920765027322</v>
      </c>
      <c r="J817" s="6">
        <v>259298.46</v>
      </c>
      <c r="K817" s="6">
        <v>3161.05</v>
      </c>
      <c r="L817" s="6">
        <v>1.2</v>
      </c>
      <c r="M817" s="6">
        <f t="shared" si="1"/>
        <v>0.4798193685</v>
      </c>
      <c r="N817" s="6">
        <v>1.2</v>
      </c>
      <c r="O817" s="7" t="s">
        <v>45</v>
      </c>
      <c r="P817" s="7" t="s">
        <v>46</v>
      </c>
      <c r="Q817" s="7" t="s">
        <v>25</v>
      </c>
      <c r="R817" s="10">
        <v>3397.22</v>
      </c>
      <c r="S817" s="10">
        <v>-236.18</v>
      </c>
      <c r="T817" s="9" t="s">
        <v>29</v>
      </c>
      <c r="U817" s="9"/>
      <c r="V817" s="9"/>
      <c r="W817" s="9"/>
      <c r="X817" s="9"/>
      <c r="Y817" s="9"/>
      <c r="Z817" s="9"/>
      <c r="AA817" s="9"/>
      <c r="AB817" s="9"/>
    </row>
    <row r="818">
      <c r="A818" s="5">
        <v>42454.0</v>
      </c>
      <c r="B818" s="6">
        <v>2016.0</v>
      </c>
      <c r="C818" s="7" t="s">
        <v>71</v>
      </c>
      <c r="D818" s="7" t="s">
        <v>63</v>
      </c>
      <c r="E818" s="7" t="s">
        <v>37</v>
      </c>
      <c r="F818" s="6">
        <v>5652.0</v>
      </c>
      <c r="G818" s="6">
        <v>228124.4</v>
      </c>
      <c r="H818" s="6">
        <v>40.36</v>
      </c>
      <c r="I818" s="8">
        <v>39.314994692144374</v>
      </c>
      <c r="J818" s="6">
        <v>222208.35</v>
      </c>
      <c r="K818" s="6">
        <v>5916.05</v>
      </c>
      <c r="L818" s="6">
        <v>2.59</v>
      </c>
      <c r="M818" s="6">
        <f t="shared" si="1"/>
        <v>1.046717976</v>
      </c>
      <c r="N818" s="6">
        <v>2.59</v>
      </c>
      <c r="O818" s="7" t="s">
        <v>45</v>
      </c>
      <c r="P818" s="7" t="s">
        <v>46</v>
      </c>
      <c r="Q818" s="7" t="s">
        <v>25</v>
      </c>
      <c r="R818" s="10">
        <v>3161.05</v>
      </c>
      <c r="S818" s="10">
        <v>2755.0</v>
      </c>
      <c r="T818" s="9" t="s">
        <v>33</v>
      </c>
      <c r="U818" s="9"/>
      <c r="V818" s="9"/>
      <c r="W818" s="9"/>
      <c r="X818" s="9"/>
      <c r="Y818" s="9"/>
      <c r="Z818" s="9"/>
      <c r="AA818" s="9"/>
      <c r="AB818" s="9"/>
    </row>
    <row r="819">
      <c r="A819" s="5">
        <v>42455.0</v>
      </c>
      <c r="B819" s="6">
        <v>2016.0</v>
      </c>
      <c r="C819" s="7" t="s">
        <v>71</v>
      </c>
      <c r="D819" s="7" t="s">
        <v>64</v>
      </c>
      <c r="E819" s="7" t="s">
        <v>39</v>
      </c>
      <c r="F819" s="6">
        <v>4103.0</v>
      </c>
      <c r="G819" s="6">
        <v>162929.49</v>
      </c>
      <c r="H819" s="6">
        <v>39.71</v>
      </c>
      <c r="I819" s="8">
        <v>39.345556909578356</v>
      </c>
      <c r="J819" s="6">
        <v>161434.82</v>
      </c>
      <c r="K819" s="6">
        <v>1494.68</v>
      </c>
      <c r="L819" s="6">
        <v>0.92</v>
      </c>
      <c r="M819" s="6">
        <f t="shared" si="1"/>
        <v>0.3642895442</v>
      </c>
      <c r="N819" s="6">
        <v>0.92</v>
      </c>
      <c r="O819" s="7" t="s">
        <v>45</v>
      </c>
      <c r="P819" s="7" t="s">
        <v>46</v>
      </c>
      <c r="Q819" s="7" t="s">
        <v>25</v>
      </c>
      <c r="R819" s="10">
        <v>5916.05</v>
      </c>
      <c r="S819" s="10">
        <v>-4421.37</v>
      </c>
      <c r="T819" s="9" t="s">
        <v>29</v>
      </c>
      <c r="U819" s="9"/>
      <c r="V819" s="9"/>
      <c r="W819" s="9"/>
      <c r="X819" s="9"/>
      <c r="Y819" s="9"/>
      <c r="Z819" s="9"/>
      <c r="AA819" s="9"/>
      <c r="AB819" s="9"/>
    </row>
    <row r="820">
      <c r="A820" s="5">
        <v>42456.0</v>
      </c>
      <c r="B820" s="6">
        <v>2016.0</v>
      </c>
      <c r="C820" s="7" t="s">
        <v>71</v>
      </c>
      <c r="D820" s="7" t="s">
        <v>65</v>
      </c>
      <c r="E820" s="7" t="s">
        <v>41</v>
      </c>
      <c r="F820" s="6">
        <v>1466.0</v>
      </c>
      <c r="G820" s="6">
        <v>58359.83</v>
      </c>
      <c r="H820" s="6">
        <v>39.81</v>
      </c>
      <c r="I820" s="8">
        <v>39.3462278308322</v>
      </c>
      <c r="J820" s="6">
        <v>57681.57</v>
      </c>
      <c r="K820" s="6">
        <v>678.26</v>
      </c>
      <c r="L820" s="6">
        <v>1.16</v>
      </c>
      <c r="M820" s="6">
        <f t="shared" si="1"/>
        <v>0.4626603001</v>
      </c>
      <c r="N820" s="6">
        <v>1.16</v>
      </c>
      <c r="O820" s="7" t="s">
        <v>45</v>
      </c>
      <c r="P820" s="7" t="s">
        <v>46</v>
      </c>
      <c r="Q820" s="7" t="s">
        <v>25</v>
      </c>
      <c r="R820" s="10">
        <v>1494.68</v>
      </c>
      <c r="S820" s="10">
        <v>-816.41</v>
      </c>
      <c r="T820" s="9" t="s">
        <v>29</v>
      </c>
      <c r="U820" s="9"/>
      <c r="V820" s="9"/>
      <c r="W820" s="9"/>
      <c r="X820" s="9"/>
      <c r="Y820" s="9"/>
      <c r="Z820" s="9"/>
      <c r="AA820" s="9"/>
      <c r="AB820" s="9"/>
    </row>
    <row r="821">
      <c r="A821" s="5">
        <v>42457.0</v>
      </c>
      <c r="B821" s="6">
        <v>2016.0</v>
      </c>
      <c r="C821" s="7" t="s">
        <v>71</v>
      </c>
      <c r="D821" s="7" t="s">
        <v>66</v>
      </c>
      <c r="E821" s="7" t="s">
        <v>22</v>
      </c>
      <c r="F821" s="6">
        <v>2162.0</v>
      </c>
      <c r="G821" s="6">
        <v>85605.33</v>
      </c>
      <c r="H821" s="6">
        <v>39.6</v>
      </c>
      <c r="I821" s="8">
        <v>39.325800185013875</v>
      </c>
      <c r="J821" s="6">
        <v>85022.38</v>
      </c>
      <c r="K821" s="6">
        <v>582.95</v>
      </c>
      <c r="L821" s="6">
        <v>0.68</v>
      </c>
      <c r="M821" s="6">
        <f t="shared" si="1"/>
        <v>0.2696345976</v>
      </c>
      <c r="N821" s="6">
        <v>0.68</v>
      </c>
      <c r="O821" s="7" t="s">
        <v>45</v>
      </c>
      <c r="P821" s="7" t="s">
        <v>46</v>
      </c>
      <c r="Q821" s="7" t="s">
        <v>25</v>
      </c>
      <c r="R821" s="10">
        <v>678.26</v>
      </c>
      <c r="S821" s="10">
        <v>-95.31</v>
      </c>
      <c r="T821" s="9" t="s">
        <v>29</v>
      </c>
      <c r="U821" s="9"/>
      <c r="V821" s="9"/>
      <c r="W821" s="9"/>
      <c r="X821" s="9"/>
      <c r="Y821" s="9"/>
      <c r="Z821" s="9"/>
      <c r="AA821" s="9"/>
      <c r="AB821" s="9"/>
    </row>
    <row r="822">
      <c r="A822" s="5">
        <v>42458.0</v>
      </c>
      <c r="B822" s="6">
        <v>2016.0</v>
      </c>
      <c r="C822" s="7" t="s">
        <v>71</v>
      </c>
      <c r="D822" s="7" t="s">
        <v>67</v>
      </c>
      <c r="E822" s="7" t="s">
        <v>28</v>
      </c>
      <c r="F822" s="6">
        <v>2155.0</v>
      </c>
      <c r="G822" s="6">
        <v>84836.41</v>
      </c>
      <c r="H822" s="6">
        <v>39.37</v>
      </c>
      <c r="I822" s="8">
        <v>39.255322505800464</v>
      </c>
      <c r="J822" s="6">
        <v>84595.22</v>
      </c>
      <c r="K822" s="6">
        <v>241.2</v>
      </c>
      <c r="L822" s="6">
        <v>0.28</v>
      </c>
      <c r="M822" s="6">
        <f t="shared" si="1"/>
        <v>0.1119257541</v>
      </c>
      <c r="N822" s="6">
        <v>0.28</v>
      </c>
      <c r="O822" s="7" t="s">
        <v>45</v>
      </c>
      <c r="P822" s="7" t="s">
        <v>46</v>
      </c>
      <c r="Q822" s="7" t="s">
        <v>25</v>
      </c>
      <c r="R822" s="10">
        <v>582.95</v>
      </c>
      <c r="S822" s="10">
        <v>-341.75</v>
      </c>
      <c r="T822" s="9" t="s">
        <v>29</v>
      </c>
      <c r="U822" s="9"/>
      <c r="V822" s="9"/>
      <c r="W822" s="9"/>
      <c r="X822" s="9"/>
      <c r="Y822" s="9"/>
      <c r="Z822" s="9"/>
      <c r="AA822" s="9"/>
      <c r="AB822" s="9"/>
    </row>
    <row r="823">
      <c r="A823" s="5">
        <v>42459.0</v>
      </c>
      <c r="B823" s="6">
        <v>2016.0</v>
      </c>
      <c r="C823" s="7" t="s">
        <v>71</v>
      </c>
      <c r="D823" s="7" t="s">
        <v>21</v>
      </c>
      <c r="E823" s="7" t="s">
        <v>32</v>
      </c>
      <c r="F823" s="6">
        <v>1746.0</v>
      </c>
      <c r="G823" s="6">
        <v>64308.91</v>
      </c>
      <c r="H823" s="6">
        <v>36.83</v>
      </c>
      <c r="I823" s="8">
        <v>39.19105956471935</v>
      </c>
      <c r="J823" s="6">
        <v>68427.59</v>
      </c>
      <c r="K823" s="6">
        <v>-4118.68</v>
      </c>
      <c r="L823" s="6">
        <v>-6.4</v>
      </c>
      <c r="M823" s="6">
        <f t="shared" si="1"/>
        <v>-2.358923253</v>
      </c>
      <c r="N823" s="6">
        <v>-6.4</v>
      </c>
      <c r="O823" s="7" t="s">
        <v>45</v>
      </c>
      <c r="P823" s="7" t="s">
        <v>46</v>
      </c>
      <c r="Q823" s="7" t="s">
        <v>25</v>
      </c>
      <c r="R823" s="10">
        <v>241.2</v>
      </c>
      <c r="S823" s="10">
        <v>-4359.88</v>
      </c>
      <c r="T823" s="9" t="s">
        <v>29</v>
      </c>
      <c r="U823" s="9"/>
      <c r="V823" s="9"/>
      <c r="W823" s="9"/>
      <c r="X823" s="9"/>
      <c r="Y823" s="9"/>
      <c r="Z823" s="9"/>
      <c r="AA823" s="9"/>
      <c r="AB823" s="9"/>
    </row>
    <row r="824">
      <c r="A824" s="5">
        <v>42460.0</v>
      </c>
      <c r="B824" s="6">
        <v>2016.0</v>
      </c>
      <c r="C824" s="7" t="s">
        <v>71</v>
      </c>
      <c r="D824" s="7" t="s">
        <v>27</v>
      </c>
      <c r="E824" s="7" t="s">
        <v>35</v>
      </c>
      <c r="F824" s="6">
        <v>3554.0</v>
      </c>
      <c r="G824" s="6">
        <v>131168.49</v>
      </c>
      <c r="H824" s="6">
        <v>36.91</v>
      </c>
      <c r="I824" s="8">
        <v>38.99524479459764</v>
      </c>
      <c r="J824" s="6">
        <v>138589.1</v>
      </c>
      <c r="K824" s="6">
        <v>-7420.61</v>
      </c>
      <c r="L824" s="6">
        <v>-5.66</v>
      </c>
      <c r="M824" s="6">
        <f t="shared" si="1"/>
        <v>-2.087960045</v>
      </c>
      <c r="N824" s="6">
        <v>-5.66</v>
      </c>
      <c r="O824" s="7" t="s">
        <v>45</v>
      </c>
      <c r="P824" s="7" t="s">
        <v>46</v>
      </c>
      <c r="Q824" s="7" t="s">
        <v>25</v>
      </c>
      <c r="R824" s="10">
        <v>-4118.68</v>
      </c>
      <c r="S824" s="10">
        <v>-3301.93</v>
      </c>
      <c r="T824" s="9" t="s">
        <v>29</v>
      </c>
      <c r="U824" s="9"/>
      <c r="V824" s="9"/>
      <c r="W824" s="9"/>
      <c r="X824" s="9"/>
      <c r="Y824" s="9"/>
      <c r="Z824" s="9"/>
      <c r="AA824" s="9"/>
      <c r="AB824" s="9"/>
    </row>
    <row r="825">
      <c r="A825" s="5">
        <v>42461.0</v>
      </c>
      <c r="B825" s="6">
        <v>2016.0</v>
      </c>
      <c r="C825" s="7" t="s">
        <v>72</v>
      </c>
      <c r="D825" s="7" t="s">
        <v>31</v>
      </c>
      <c r="E825" s="7" t="s">
        <v>37</v>
      </c>
      <c r="F825" s="6">
        <v>6282.0</v>
      </c>
      <c r="G825" s="6">
        <v>232410.2</v>
      </c>
      <c r="H825" s="6">
        <v>37.0</v>
      </c>
      <c r="I825" s="8">
        <v>39.05740687679083</v>
      </c>
      <c r="J825" s="6">
        <v>245358.63</v>
      </c>
      <c r="K825" s="6">
        <v>-12948.43</v>
      </c>
      <c r="L825" s="6">
        <v>-5.57</v>
      </c>
      <c r="M825" s="6">
        <f t="shared" si="1"/>
        <v>-2.061195479</v>
      </c>
      <c r="N825" s="6">
        <v>-5.57</v>
      </c>
      <c r="O825" s="7" t="s">
        <v>45</v>
      </c>
      <c r="P825" s="7" t="s">
        <v>46</v>
      </c>
      <c r="Q825" s="7" t="s">
        <v>25</v>
      </c>
      <c r="R825" s="10">
        <v>-7420.61</v>
      </c>
      <c r="S825" s="10">
        <v>-5527.82</v>
      </c>
      <c r="T825" s="9" t="s">
        <v>29</v>
      </c>
      <c r="U825" s="9"/>
      <c r="V825" s="9"/>
      <c r="W825" s="9"/>
      <c r="X825" s="9"/>
      <c r="Y825" s="9"/>
      <c r="Z825" s="9"/>
      <c r="AA825" s="9"/>
      <c r="AB825" s="9"/>
    </row>
    <row r="826">
      <c r="A826" s="5">
        <v>42462.0</v>
      </c>
      <c r="B826" s="6">
        <v>2016.0</v>
      </c>
      <c r="C826" s="7" t="s">
        <v>72</v>
      </c>
      <c r="D826" s="7" t="s">
        <v>34</v>
      </c>
      <c r="E826" s="7" t="s">
        <v>39</v>
      </c>
      <c r="F826" s="6">
        <v>5259.0</v>
      </c>
      <c r="G826" s="6">
        <v>195831.1</v>
      </c>
      <c r="H826" s="6">
        <v>37.24</v>
      </c>
      <c r="I826" s="8">
        <v>39.064999049248904</v>
      </c>
      <c r="J826" s="6">
        <v>205442.83</v>
      </c>
      <c r="K826" s="6">
        <v>-9611.73</v>
      </c>
      <c r="L826" s="6">
        <v>-4.91</v>
      </c>
      <c r="M826" s="6">
        <f t="shared" si="1"/>
        <v>-1.827672561</v>
      </c>
      <c r="N826" s="6">
        <v>-4.91</v>
      </c>
      <c r="O826" s="7" t="s">
        <v>45</v>
      </c>
      <c r="P826" s="7" t="s">
        <v>46</v>
      </c>
      <c r="Q826" s="7" t="s">
        <v>25</v>
      </c>
      <c r="R826" s="10">
        <v>-12948.43</v>
      </c>
      <c r="S826" s="10">
        <v>3336.7</v>
      </c>
      <c r="T826" s="9" t="s">
        <v>33</v>
      </c>
      <c r="U826" s="9"/>
      <c r="V826" s="9"/>
      <c r="W826" s="9"/>
      <c r="X826" s="9"/>
      <c r="Y826" s="9"/>
      <c r="Z826" s="9"/>
      <c r="AA826" s="9"/>
      <c r="AB826" s="9"/>
    </row>
    <row r="827">
      <c r="A827" s="5">
        <v>42463.0</v>
      </c>
      <c r="B827" s="6">
        <v>2016.0</v>
      </c>
      <c r="C827" s="7" t="s">
        <v>72</v>
      </c>
      <c r="D827" s="7" t="s">
        <v>36</v>
      </c>
      <c r="E827" s="7" t="s">
        <v>41</v>
      </c>
      <c r="F827" s="6">
        <v>2446.0</v>
      </c>
      <c r="G827" s="6">
        <v>90716.55</v>
      </c>
      <c r="H827" s="6">
        <v>37.09</v>
      </c>
      <c r="I827" s="8">
        <v>39.06096892886345</v>
      </c>
      <c r="J827" s="6">
        <v>95543.13</v>
      </c>
      <c r="K827" s="6">
        <v>-4826.59</v>
      </c>
      <c r="L827" s="6">
        <v>-5.32</v>
      </c>
      <c r="M827" s="6">
        <f t="shared" si="1"/>
        <v>-1.973258381</v>
      </c>
      <c r="N827" s="6">
        <v>-5.32</v>
      </c>
      <c r="O827" s="7" t="s">
        <v>45</v>
      </c>
      <c r="P827" s="7" t="s">
        <v>46</v>
      </c>
      <c r="Q827" s="7" t="s">
        <v>25</v>
      </c>
      <c r="R827" s="10">
        <v>-9611.73</v>
      </c>
      <c r="S827" s="10">
        <v>4785.14</v>
      </c>
      <c r="T827" s="9" t="s">
        <v>33</v>
      </c>
      <c r="U827" s="9"/>
      <c r="V827" s="9"/>
      <c r="W827" s="9"/>
      <c r="X827" s="9"/>
      <c r="Y827" s="9"/>
      <c r="Z827" s="9"/>
      <c r="AA827" s="9"/>
      <c r="AB827" s="9"/>
    </row>
    <row r="828">
      <c r="A828" s="5">
        <v>42464.0</v>
      </c>
      <c r="B828" s="6">
        <v>2016.0</v>
      </c>
      <c r="C828" s="7" t="s">
        <v>72</v>
      </c>
      <c r="D828" s="7" t="s">
        <v>38</v>
      </c>
      <c r="E828" s="7" t="s">
        <v>22</v>
      </c>
      <c r="F828" s="6">
        <v>3345.0</v>
      </c>
      <c r="G828" s="6">
        <v>131638.02</v>
      </c>
      <c r="H828" s="6">
        <v>39.35</v>
      </c>
      <c r="I828" s="8">
        <v>39.073300448430494</v>
      </c>
      <c r="J828" s="6">
        <v>130700.19</v>
      </c>
      <c r="K828" s="6">
        <v>937.83</v>
      </c>
      <c r="L828" s="6">
        <v>0.71</v>
      </c>
      <c r="M828" s="6">
        <f t="shared" si="1"/>
        <v>0.280367713</v>
      </c>
      <c r="N828" s="6">
        <v>0.71</v>
      </c>
      <c r="O828" s="7" t="s">
        <v>45</v>
      </c>
      <c r="P828" s="7" t="s">
        <v>46</v>
      </c>
      <c r="Q828" s="7" t="s">
        <v>25</v>
      </c>
      <c r="R828" s="10">
        <v>-4826.59</v>
      </c>
      <c r="S828" s="10">
        <v>5764.42</v>
      </c>
      <c r="T828" s="9" t="s">
        <v>33</v>
      </c>
      <c r="U828" s="9"/>
      <c r="V828" s="9"/>
      <c r="W828" s="9"/>
      <c r="X828" s="9"/>
      <c r="Y828" s="9"/>
      <c r="Z828" s="9"/>
      <c r="AA828" s="9"/>
      <c r="AB828" s="9"/>
    </row>
    <row r="829">
      <c r="A829" s="5">
        <v>42465.0</v>
      </c>
      <c r="B829" s="6">
        <v>2016.0</v>
      </c>
      <c r="C829" s="7" t="s">
        <v>72</v>
      </c>
      <c r="D829" s="7" t="s">
        <v>40</v>
      </c>
      <c r="E829" s="7" t="s">
        <v>28</v>
      </c>
      <c r="F829" s="6">
        <v>2048.0</v>
      </c>
      <c r="G829" s="6">
        <v>81910.87</v>
      </c>
      <c r="H829" s="6">
        <v>40.0</v>
      </c>
      <c r="I829" s="8">
        <v>39.0476123046875</v>
      </c>
      <c r="J829" s="6">
        <v>79969.51</v>
      </c>
      <c r="K829" s="6">
        <v>1941.36</v>
      </c>
      <c r="L829" s="6">
        <v>2.37</v>
      </c>
      <c r="M829" s="6">
        <f t="shared" si="1"/>
        <v>0.9479296875</v>
      </c>
      <c r="N829" s="6">
        <v>2.37</v>
      </c>
      <c r="O829" s="7" t="s">
        <v>45</v>
      </c>
      <c r="P829" s="7" t="s">
        <v>46</v>
      </c>
      <c r="Q829" s="7" t="s">
        <v>25</v>
      </c>
      <c r="R829" s="10">
        <v>937.83</v>
      </c>
      <c r="S829" s="10">
        <v>1003.53</v>
      </c>
      <c r="T829" s="9" t="s">
        <v>33</v>
      </c>
      <c r="U829" s="9"/>
      <c r="V829" s="9"/>
      <c r="W829" s="9"/>
      <c r="X829" s="9"/>
      <c r="Y829" s="9"/>
      <c r="Z829" s="9"/>
      <c r="AA829" s="9"/>
      <c r="AB829" s="9"/>
    </row>
    <row r="830">
      <c r="A830" s="5">
        <v>42466.0</v>
      </c>
      <c r="B830" s="6">
        <v>2016.0</v>
      </c>
      <c r="C830" s="7" t="s">
        <v>72</v>
      </c>
      <c r="D830" s="7" t="s">
        <v>42</v>
      </c>
      <c r="E830" s="7" t="s">
        <v>32</v>
      </c>
      <c r="F830" s="6">
        <v>1303.0</v>
      </c>
      <c r="G830" s="6">
        <v>54821.91</v>
      </c>
      <c r="H830" s="6">
        <v>42.07</v>
      </c>
      <c r="I830" s="8">
        <v>38.98696085955488</v>
      </c>
      <c r="J830" s="6">
        <v>50800.01</v>
      </c>
      <c r="K830" s="6">
        <v>4021.9</v>
      </c>
      <c r="L830" s="6">
        <v>7.34</v>
      </c>
      <c r="M830" s="6">
        <f t="shared" si="1"/>
        <v>3.086646201</v>
      </c>
      <c r="N830" s="6">
        <v>7.34</v>
      </c>
      <c r="O830" s="7" t="s">
        <v>45</v>
      </c>
      <c r="P830" s="7" t="s">
        <v>46</v>
      </c>
      <c r="Q830" s="7" t="s">
        <v>25</v>
      </c>
      <c r="R830" s="10">
        <v>1941.36</v>
      </c>
      <c r="S830" s="10">
        <v>2080.54</v>
      </c>
      <c r="T830" s="9" t="s">
        <v>33</v>
      </c>
      <c r="U830" s="9"/>
      <c r="V830" s="9"/>
      <c r="W830" s="9"/>
      <c r="X830" s="9"/>
      <c r="Y830" s="9"/>
      <c r="Z830" s="9"/>
      <c r="AA830" s="9"/>
      <c r="AB830" s="9"/>
    </row>
    <row r="831">
      <c r="A831" s="5">
        <v>42467.0</v>
      </c>
      <c r="B831" s="6">
        <v>2016.0</v>
      </c>
      <c r="C831" s="7" t="s">
        <v>72</v>
      </c>
      <c r="D831" s="7" t="s">
        <v>43</v>
      </c>
      <c r="E831" s="7" t="s">
        <v>35</v>
      </c>
      <c r="F831" s="6">
        <v>4413.0</v>
      </c>
      <c r="G831" s="6">
        <v>155615.42</v>
      </c>
      <c r="H831" s="6">
        <v>35.26</v>
      </c>
      <c r="I831" s="8">
        <v>38.88332880126898</v>
      </c>
      <c r="J831" s="6">
        <v>171592.13</v>
      </c>
      <c r="K831" s="6">
        <v>-15976.71</v>
      </c>
      <c r="L831" s="6">
        <v>-10.27</v>
      </c>
      <c r="M831" s="6">
        <f t="shared" si="1"/>
        <v>-3.620373895</v>
      </c>
      <c r="N831" s="6">
        <v>-10.27</v>
      </c>
      <c r="O831" s="7" t="s">
        <v>45</v>
      </c>
      <c r="P831" s="7" t="s">
        <v>46</v>
      </c>
      <c r="Q831" s="7" t="s">
        <v>25</v>
      </c>
      <c r="R831" s="10">
        <v>4021.9</v>
      </c>
      <c r="S831" s="10">
        <v>-19998.61</v>
      </c>
      <c r="T831" s="9" t="s">
        <v>29</v>
      </c>
      <c r="U831" s="9"/>
      <c r="V831" s="9"/>
      <c r="W831" s="9"/>
      <c r="X831" s="9"/>
      <c r="Y831" s="9"/>
      <c r="Z831" s="9"/>
      <c r="AA831" s="9"/>
      <c r="AB831" s="9"/>
    </row>
    <row r="832">
      <c r="A832" s="5">
        <v>42468.0</v>
      </c>
      <c r="B832" s="6">
        <v>2016.0</v>
      </c>
      <c r="C832" s="7" t="s">
        <v>72</v>
      </c>
      <c r="D832" s="7" t="s">
        <v>44</v>
      </c>
      <c r="E832" s="7" t="s">
        <v>37</v>
      </c>
      <c r="F832" s="6">
        <v>7494.0</v>
      </c>
      <c r="G832" s="6">
        <v>264086.89</v>
      </c>
      <c r="H832" s="6">
        <v>35.24</v>
      </c>
      <c r="I832" s="8">
        <v>38.881582599412866</v>
      </c>
      <c r="J832" s="6">
        <v>291378.58</v>
      </c>
      <c r="K832" s="6">
        <v>-27291.69</v>
      </c>
      <c r="L832" s="6">
        <v>-10.33</v>
      </c>
      <c r="M832" s="6">
        <f t="shared" si="1"/>
        <v>-3.641805444</v>
      </c>
      <c r="N832" s="6">
        <v>-10.33</v>
      </c>
      <c r="O832" s="7" t="s">
        <v>45</v>
      </c>
      <c r="P832" s="7" t="s">
        <v>46</v>
      </c>
      <c r="Q832" s="7" t="s">
        <v>25</v>
      </c>
      <c r="R832" s="10">
        <v>-15976.71</v>
      </c>
      <c r="S832" s="10">
        <v>-11314.98</v>
      </c>
      <c r="T832" s="9" t="s">
        <v>29</v>
      </c>
      <c r="U832" s="9"/>
      <c r="V832" s="9"/>
      <c r="W832" s="9"/>
      <c r="X832" s="9"/>
      <c r="Y832" s="9"/>
      <c r="Z832" s="9"/>
      <c r="AA832" s="9"/>
      <c r="AB832" s="9"/>
    </row>
    <row r="833">
      <c r="A833" s="5">
        <v>42469.0</v>
      </c>
      <c r="B833" s="6">
        <v>2016.0</v>
      </c>
      <c r="C833" s="7" t="s">
        <v>72</v>
      </c>
      <c r="D833" s="7" t="s">
        <v>47</v>
      </c>
      <c r="E833" s="7" t="s">
        <v>39</v>
      </c>
      <c r="F833" s="6">
        <v>7738.0</v>
      </c>
      <c r="G833" s="6">
        <v>272761.3</v>
      </c>
      <c r="H833" s="6">
        <v>35.25</v>
      </c>
      <c r="I833" s="8">
        <v>38.53249159989661</v>
      </c>
      <c r="J833" s="6">
        <v>298164.42</v>
      </c>
      <c r="K833" s="6">
        <v>-25403.12</v>
      </c>
      <c r="L833" s="6">
        <v>-9.31</v>
      </c>
      <c r="M833" s="6">
        <f t="shared" si="1"/>
        <v>-3.282905143</v>
      </c>
      <c r="N833" s="6">
        <v>-9.31</v>
      </c>
      <c r="O833" s="7" t="s">
        <v>45</v>
      </c>
      <c r="P833" s="7" t="s">
        <v>46</v>
      </c>
      <c r="Q833" s="7" t="s">
        <v>25</v>
      </c>
      <c r="R833" s="10">
        <v>-27291.69</v>
      </c>
      <c r="S833" s="10">
        <v>1888.57</v>
      </c>
      <c r="T833" s="9" t="s">
        <v>33</v>
      </c>
      <c r="U833" s="9"/>
      <c r="V833" s="9"/>
      <c r="W833" s="9"/>
      <c r="X833" s="9"/>
      <c r="Y833" s="9"/>
      <c r="Z833" s="9"/>
      <c r="AA833" s="9"/>
      <c r="AB833" s="9"/>
    </row>
    <row r="834">
      <c r="A834" s="5">
        <v>42470.0</v>
      </c>
      <c r="B834" s="6">
        <v>2016.0</v>
      </c>
      <c r="C834" s="7" t="s">
        <v>72</v>
      </c>
      <c r="D834" s="7" t="s">
        <v>48</v>
      </c>
      <c r="E834" s="7" t="s">
        <v>41</v>
      </c>
      <c r="F834" s="6">
        <v>2958.0</v>
      </c>
      <c r="G834" s="6">
        <v>104689.43</v>
      </c>
      <c r="H834" s="6">
        <v>35.39</v>
      </c>
      <c r="I834" s="8">
        <v>38.407471264367814</v>
      </c>
      <c r="J834" s="6">
        <v>113609.3</v>
      </c>
      <c r="K834" s="6">
        <v>-8919.88</v>
      </c>
      <c r="L834" s="6">
        <v>-8.52</v>
      </c>
      <c r="M834" s="6">
        <f t="shared" si="1"/>
        <v>-3.01551048</v>
      </c>
      <c r="N834" s="6">
        <v>-8.52</v>
      </c>
      <c r="O834" s="7" t="s">
        <v>45</v>
      </c>
      <c r="P834" s="7" t="s">
        <v>46</v>
      </c>
      <c r="Q834" s="7" t="s">
        <v>25</v>
      </c>
      <c r="R834" s="10">
        <v>-25403.12</v>
      </c>
      <c r="S834" s="10">
        <v>16483.24</v>
      </c>
      <c r="T834" s="9" t="s">
        <v>33</v>
      </c>
      <c r="U834" s="9"/>
      <c r="V834" s="9"/>
      <c r="W834" s="9"/>
      <c r="X834" s="9"/>
      <c r="Y834" s="9"/>
      <c r="Z834" s="9"/>
      <c r="AA834" s="9"/>
      <c r="AB834" s="9"/>
    </row>
    <row r="835">
      <c r="A835" s="5">
        <v>42471.0</v>
      </c>
      <c r="B835" s="6">
        <v>2016.0</v>
      </c>
      <c r="C835" s="7" t="s">
        <v>72</v>
      </c>
      <c r="D835" s="7" t="s">
        <v>49</v>
      </c>
      <c r="E835" s="7" t="s">
        <v>22</v>
      </c>
      <c r="F835" s="6">
        <v>3713.0</v>
      </c>
      <c r="G835" s="6">
        <v>131170.6</v>
      </c>
      <c r="H835" s="6">
        <v>35.33</v>
      </c>
      <c r="I835" s="8">
        <v>38.25015082143819</v>
      </c>
      <c r="J835" s="6">
        <v>142022.81</v>
      </c>
      <c r="K835" s="6">
        <v>-10852.22</v>
      </c>
      <c r="L835" s="6">
        <v>-8.27</v>
      </c>
      <c r="M835" s="6">
        <f t="shared" si="1"/>
        <v>-2.922763264</v>
      </c>
      <c r="N835" s="6">
        <v>-8.27</v>
      </c>
      <c r="O835" s="7" t="s">
        <v>45</v>
      </c>
      <c r="P835" s="7" t="s">
        <v>46</v>
      </c>
      <c r="Q835" s="7" t="s">
        <v>25</v>
      </c>
      <c r="R835" s="10">
        <v>-8919.88</v>
      </c>
      <c r="S835" s="10">
        <v>-1932.34</v>
      </c>
      <c r="T835" s="9" t="s">
        <v>29</v>
      </c>
      <c r="U835" s="9"/>
      <c r="V835" s="9"/>
      <c r="W835" s="9"/>
      <c r="X835" s="9"/>
      <c r="Y835" s="9"/>
      <c r="Z835" s="9"/>
      <c r="AA835" s="9"/>
      <c r="AB835" s="9"/>
    </row>
    <row r="836">
      <c r="A836" s="5">
        <v>42472.0</v>
      </c>
      <c r="B836" s="6">
        <v>2016.0</v>
      </c>
      <c r="C836" s="7" t="s">
        <v>72</v>
      </c>
      <c r="D836" s="7" t="s">
        <v>50</v>
      </c>
      <c r="E836" s="7" t="s">
        <v>28</v>
      </c>
      <c r="F836" s="6">
        <v>3504.0</v>
      </c>
      <c r="G836" s="6">
        <v>123179.49</v>
      </c>
      <c r="H836" s="6">
        <v>35.15</v>
      </c>
      <c r="I836" s="8">
        <v>37.875273972602734</v>
      </c>
      <c r="J836" s="6">
        <v>132714.96</v>
      </c>
      <c r="K836" s="6">
        <v>-9535.47</v>
      </c>
      <c r="L836" s="6">
        <v>-7.74</v>
      </c>
      <c r="M836" s="6">
        <f t="shared" si="1"/>
        <v>-2.721309932</v>
      </c>
      <c r="N836" s="6">
        <v>-7.74</v>
      </c>
      <c r="O836" s="7" t="s">
        <v>45</v>
      </c>
      <c r="P836" s="7" t="s">
        <v>46</v>
      </c>
      <c r="Q836" s="7" t="s">
        <v>25</v>
      </c>
      <c r="R836" s="10">
        <v>-10852.22</v>
      </c>
      <c r="S836" s="10">
        <v>1316.74</v>
      </c>
      <c r="T836" s="9" t="s">
        <v>33</v>
      </c>
      <c r="U836" s="9"/>
      <c r="V836" s="9"/>
      <c r="W836" s="9"/>
      <c r="X836" s="9"/>
      <c r="Y836" s="9"/>
      <c r="Z836" s="9"/>
      <c r="AA836" s="9"/>
      <c r="AB836" s="9"/>
    </row>
    <row r="837">
      <c r="A837" s="5">
        <v>42473.0</v>
      </c>
      <c r="B837" s="6">
        <v>2016.0</v>
      </c>
      <c r="C837" s="7" t="s">
        <v>72</v>
      </c>
      <c r="D837" s="7" t="s">
        <v>51</v>
      </c>
      <c r="E837" s="7" t="s">
        <v>32</v>
      </c>
      <c r="F837" s="6">
        <v>3534.0</v>
      </c>
      <c r="G837" s="6">
        <v>124431.05</v>
      </c>
      <c r="H837" s="6">
        <v>35.21</v>
      </c>
      <c r="I837" s="8">
        <v>37.603016411997736</v>
      </c>
      <c r="J837" s="6">
        <v>132889.06</v>
      </c>
      <c r="K837" s="6">
        <v>-8458.01</v>
      </c>
      <c r="L837" s="6">
        <v>-6.8</v>
      </c>
      <c r="M837" s="6">
        <f t="shared" si="1"/>
        <v>-2.393324844</v>
      </c>
      <c r="N837" s="6">
        <v>-6.8</v>
      </c>
      <c r="O837" s="7" t="s">
        <v>45</v>
      </c>
      <c r="P837" s="7" t="s">
        <v>46</v>
      </c>
      <c r="Q837" s="7" t="s">
        <v>25</v>
      </c>
      <c r="R837" s="10">
        <v>-9535.47</v>
      </c>
      <c r="S837" s="10">
        <v>1077.46</v>
      </c>
      <c r="T837" s="9" t="s">
        <v>33</v>
      </c>
      <c r="U837" s="9"/>
      <c r="V837" s="9"/>
      <c r="W837" s="9"/>
      <c r="X837" s="9"/>
      <c r="Y837" s="9"/>
      <c r="Z837" s="9"/>
      <c r="AA837" s="9"/>
      <c r="AB837" s="9"/>
    </row>
    <row r="838">
      <c r="A838" s="5">
        <v>42474.0</v>
      </c>
      <c r="B838" s="6">
        <v>2016.0</v>
      </c>
      <c r="C838" s="7" t="s">
        <v>72</v>
      </c>
      <c r="D838" s="7" t="s">
        <v>52</v>
      </c>
      <c r="E838" s="7" t="s">
        <v>35</v>
      </c>
      <c r="F838" s="6">
        <v>4601.0</v>
      </c>
      <c r="G838" s="6">
        <v>162166.84</v>
      </c>
      <c r="H838" s="6">
        <v>35.25</v>
      </c>
      <c r="I838" s="8">
        <v>37.43222125624864</v>
      </c>
      <c r="J838" s="6">
        <v>172225.65</v>
      </c>
      <c r="K838" s="6">
        <v>-10058.82</v>
      </c>
      <c r="L838" s="6">
        <v>-6.2</v>
      </c>
      <c r="M838" s="6">
        <f t="shared" si="1"/>
        <v>-2.186224734</v>
      </c>
      <c r="N838" s="6">
        <v>-6.2</v>
      </c>
      <c r="O838" s="7" t="s">
        <v>45</v>
      </c>
      <c r="P838" s="7" t="s">
        <v>46</v>
      </c>
      <c r="Q838" s="7" t="s">
        <v>25</v>
      </c>
      <c r="R838" s="10">
        <v>-8458.01</v>
      </c>
      <c r="S838" s="10">
        <v>-1600.81</v>
      </c>
      <c r="T838" s="9" t="s">
        <v>29</v>
      </c>
      <c r="U838" s="9"/>
      <c r="V838" s="9"/>
      <c r="W838" s="9"/>
      <c r="X838" s="9"/>
      <c r="Y838" s="9"/>
      <c r="Z838" s="9"/>
      <c r="AA838" s="9"/>
      <c r="AB838" s="9"/>
    </row>
    <row r="839">
      <c r="A839" s="5">
        <v>42475.0</v>
      </c>
      <c r="B839" s="6">
        <v>2016.0</v>
      </c>
      <c r="C839" s="7" t="s">
        <v>72</v>
      </c>
      <c r="D839" s="7" t="s">
        <v>53</v>
      </c>
      <c r="E839" s="7" t="s">
        <v>37</v>
      </c>
      <c r="F839" s="6">
        <v>10045.0</v>
      </c>
      <c r="G839" s="6">
        <v>354042.02</v>
      </c>
      <c r="H839" s="6">
        <v>35.25</v>
      </c>
      <c r="I839" s="8">
        <v>37.15284320557491</v>
      </c>
      <c r="J839" s="6">
        <v>373200.31</v>
      </c>
      <c r="K839" s="6">
        <v>-19158.28</v>
      </c>
      <c r="L839" s="6">
        <v>-5.41</v>
      </c>
      <c r="M839" s="6">
        <f t="shared" si="1"/>
        <v>-1.907245396</v>
      </c>
      <c r="N839" s="6">
        <v>-5.41</v>
      </c>
      <c r="O839" s="7" t="s">
        <v>45</v>
      </c>
      <c r="P839" s="7" t="s">
        <v>46</v>
      </c>
      <c r="Q839" s="7" t="s">
        <v>25</v>
      </c>
      <c r="R839" s="10">
        <v>-10058.82</v>
      </c>
      <c r="S839" s="10">
        <v>-9099.47</v>
      </c>
      <c r="T839" s="9" t="s">
        <v>29</v>
      </c>
      <c r="U839" s="9"/>
      <c r="V839" s="9"/>
      <c r="W839" s="9"/>
      <c r="X839" s="9"/>
      <c r="Y839" s="9"/>
      <c r="Z839" s="9"/>
      <c r="AA839" s="9"/>
      <c r="AB839" s="9"/>
    </row>
    <row r="840">
      <c r="A840" s="5">
        <v>42476.0</v>
      </c>
      <c r="B840" s="6">
        <v>2016.0</v>
      </c>
      <c r="C840" s="7" t="s">
        <v>72</v>
      </c>
      <c r="D840" s="7" t="s">
        <v>54</v>
      </c>
      <c r="E840" s="7" t="s">
        <v>39</v>
      </c>
      <c r="F840" s="6">
        <v>9301.0</v>
      </c>
      <c r="G840" s="6">
        <v>327352.26</v>
      </c>
      <c r="H840" s="6">
        <v>35.2</v>
      </c>
      <c r="I840" s="8">
        <v>37.129193635093</v>
      </c>
      <c r="J840" s="6">
        <v>345338.63</v>
      </c>
      <c r="K840" s="6">
        <v>-17986.37</v>
      </c>
      <c r="L840" s="6">
        <v>-5.49</v>
      </c>
      <c r="M840" s="6">
        <f t="shared" si="1"/>
        <v>-1.933810343</v>
      </c>
      <c r="N840" s="6">
        <v>-5.49</v>
      </c>
      <c r="O840" s="7" t="s">
        <v>45</v>
      </c>
      <c r="P840" s="7" t="s">
        <v>46</v>
      </c>
      <c r="Q840" s="7" t="s">
        <v>25</v>
      </c>
      <c r="R840" s="10">
        <v>-19158.28</v>
      </c>
      <c r="S840" s="10">
        <v>1171.92</v>
      </c>
      <c r="T840" s="9" t="s">
        <v>33</v>
      </c>
      <c r="U840" s="9"/>
      <c r="V840" s="9"/>
      <c r="W840" s="9"/>
      <c r="X840" s="9"/>
      <c r="Y840" s="9"/>
      <c r="Z840" s="9"/>
      <c r="AA840" s="9"/>
      <c r="AB840" s="9"/>
    </row>
    <row r="841">
      <c r="A841" s="5">
        <v>42477.0</v>
      </c>
      <c r="B841" s="6">
        <v>2016.0</v>
      </c>
      <c r="C841" s="7" t="s">
        <v>72</v>
      </c>
      <c r="D841" s="7" t="s">
        <v>55</v>
      </c>
      <c r="E841" s="7" t="s">
        <v>41</v>
      </c>
      <c r="F841" s="6">
        <v>4678.0</v>
      </c>
      <c r="G841" s="6">
        <v>164809.3</v>
      </c>
      <c r="H841" s="6">
        <v>35.23</v>
      </c>
      <c r="I841" s="8">
        <v>37.444940145361265</v>
      </c>
      <c r="J841" s="6">
        <v>175167.43</v>
      </c>
      <c r="K841" s="6">
        <v>-10358.13</v>
      </c>
      <c r="L841" s="6">
        <v>-6.28</v>
      </c>
      <c r="M841" s="6">
        <f t="shared" si="1"/>
        <v>-2.21422189</v>
      </c>
      <c r="N841" s="6">
        <v>-6.28</v>
      </c>
      <c r="O841" s="7" t="s">
        <v>45</v>
      </c>
      <c r="P841" s="7" t="s">
        <v>46</v>
      </c>
      <c r="Q841" s="7" t="s">
        <v>25</v>
      </c>
      <c r="R841" s="10">
        <v>-17986.37</v>
      </c>
      <c r="S841" s="10">
        <v>7628.24</v>
      </c>
      <c r="T841" s="9" t="s">
        <v>33</v>
      </c>
      <c r="U841" s="9"/>
      <c r="V841" s="9"/>
      <c r="W841" s="9"/>
      <c r="X841" s="9"/>
      <c r="Y841" s="9"/>
      <c r="Z841" s="9"/>
      <c r="AA841" s="9"/>
      <c r="AB841" s="9"/>
    </row>
    <row r="842">
      <c r="A842" s="5">
        <v>42478.0</v>
      </c>
      <c r="B842" s="6">
        <v>2016.0</v>
      </c>
      <c r="C842" s="7" t="s">
        <v>72</v>
      </c>
      <c r="D842" s="7" t="s">
        <v>56</v>
      </c>
      <c r="E842" s="7" t="s">
        <v>22</v>
      </c>
      <c r="F842" s="6">
        <v>4294.0</v>
      </c>
      <c r="G842" s="6">
        <v>151157.79</v>
      </c>
      <c r="H842" s="6">
        <v>35.2</v>
      </c>
      <c r="I842" s="8">
        <v>37.22141825803446</v>
      </c>
      <c r="J842" s="6">
        <v>159828.77</v>
      </c>
      <c r="K842" s="6">
        <v>-8670.97</v>
      </c>
      <c r="L842" s="6">
        <v>-5.74</v>
      </c>
      <c r="M842" s="6">
        <f t="shared" si="1"/>
        <v>-2.01932231</v>
      </c>
      <c r="N842" s="6">
        <v>-5.74</v>
      </c>
      <c r="O842" s="7" t="s">
        <v>45</v>
      </c>
      <c r="P842" s="7" t="s">
        <v>46</v>
      </c>
      <c r="Q842" s="7" t="s">
        <v>25</v>
      </c>
      <c r="R842" s="10">
        <v>-10358.13</v>
      </c>
      <c r="S842" s="10">
        <v>1687.15</v>
      </c>
      <c r="T842" s="9" t="s">
        <v>33</v>
      </c>
      <c r="U842" s="9"/>
      <c r="V842" s="9"/>
      <c r="W842" s="9"/>
      <c r="X842" s="9"/>
      <c r="Y842" s="9"/>
      <c r="Z842" s="9"/>
      <c r="AA842" s="9"/>
      <c r="AB842" s="9"/>
    </row>
    <row r="843">
      <c r="A843" s="5">
        <v>42479.0</v>
      </c>
      <c r="B843" s="6">
        <v>2016.0</v>
      </c>
      <c r="C843" s="7" t="s">
        <v>72</v>
      </c>
      <c r="D843" s="7" t="s">
        <v>57</v>
      </c>
      <c r="E843" s="7" t="s">
        <v>28</v>
      </c>
      <c r="F843" s="6">
        <v>3606.0</v>
      </c>
      <c r="G843" s="6">
        <v>126895.94</v>
      </c>
      <c r="H843" s="6">
        <v>35.19</v>
      </c>
      <c r="I843" s="8">
        <v>37.084381586245144</v>
      </c>
      <c r="J843" s="6">
        <v>133726.28</v>
      </c>
      <c r="K843" s="6">
        <v>-6830.34</v>
      </c>
      <c r="L843" s="6">
        <v>-5.38</v>
      </c>
      <c r="M843" s="6">
        <f t="shared" si="1"/>
        <v>-1.894159734</v>
      </c>
      <c r="N843" s="6">
        <v>-5.38</v>
      </c>
      <c r="O843" s="7" t="s">
        <v>45</v>
      </c>
      <c r="P843" s="7" t="s">
        <v>46</v>
      </c>
      <c r="Q843" s="7" t="s">
        <v>25</v>
      </c>
      <c r="R843" s="10">
        <v>-8670.97</v>
      </c>
      <c r="S843" s="10">
        <v>1840.63</v>
      </c>
      <c r="T843" s="9" t="s">
        <v>33</v>
      </c>
      <c r="U843" s="9"/>
      <c r="V843" s="9"/>
      <c r="W843" s="9"/>
      <c r="X843" s="9"/>
      <c r="Y843" s="9"/>
      <c r="Z843" s="9"/>
      <c r="AA843" s="9"/>
      <c r="AB843" s="9"/>
    </row>
    <row r="844">
      <c r="A844" s="5">
        <v>42480.0</v>
      </c>
      <c r="B844" s="6">
        <v>2016.0</v>
      </c>
      <c r="C844" s="7" t="s">
        <v>72</v>
      </c>
      <c r="D844" s="7" t="s">
        <v>58</v>
      </c>
      <c r="E844" s="7" t="s">
        <v>32</v>
      </c>
      <c r="F844" s="6">
        <v>4838.0</v>
      </c>
      <c r="G844" s="6">
        <v>166395.45</v>
      </c>
      <c r="H844" s="6">
        <v>34.39</v>
      </c>
      <c r="I844" s="8">
        <v>37.00300537412154</v>
      </c>
      <c r="J844" s="6">
        <v>179020.54</v>
      </c>
      <c r="K844" s="6">
        <v>-12625.1</v>
      </c>
      <c r="L844" s="6">
        <v>-7.59</v>
      </c>
      <c r="M844" s="6">
        <f t="shared" si="1"/>
        <v>-2.60957007</v>
      </c>
      <c r="N844" s="6">
        <v>-7.59</v>
      </c>
      <c r="O844" s="7" t="s">
        <v>45</v>
      </c>
      <c r="P844" s="7" t="s">
        <v>46</v>
      </c>
      <c r="Q844" s="7" t="s">
        <v>25</v>
      </c>
      <c r="R844" s="10">
        <v>-6830.34</v>
      </c>
      <c r="S844" s="10">
        <v>-5794.75</v>
      </c>
      <c r="T844" s="9" t="s">
        <v>29</v>
      </c>
      <c r="U844" s="9"/>
      <c r="V844" s="9"/>
      <c r="W844" s="9"/>
      <c r="X844" s="9"/>
      <c r="Y844" s="9"/>
      <c r="Z844" s="9"/>
      <c r="AA844" s="9"/>
      <c r="AB844" s="9"/>
    </row>
    <row r="845">
      <c r="A845" s="5">
        <v>42481.0</v>
      </c>
      <c r="B845" s="6">
        <v>2016.0</v>
      </c>
      <c r="C845" s="7" t="s">
        <v>72</v>
      </c>
      <c r="D845" s="7" t="s">
        <v>59</v>
      </c>
      <c r="E845" s="7" t="s">
        <v>35</v>
      </c>
      <c r="F845" s="6">
        <v>4914.0</v>
      </c>
      <c r="G845" s="6">
        <v>167796.35</v>
      </c>
      <c r="H845" s="6">
        <v>34.15</v>
      </c>
      <c r="I845" s="8">
        <v>37.135754985754986</v>
      </c>
      <c r="J845" s="6">
        <v>182485.1</v>
      </c>
      <c r="K845" s="6">
        <v>-14688.74</v>
      </c>
      <c r="L845" s="6">
        <v>-8.75</v>
      </c>
      <c r="M845" s="6">
        <f t="shared" si="1"/>
        <v>-2.989161579</v>
      </c>
      <c r="N845" s="6">
        <v>-8.75</v>
      </c>
      <c r="O845" s="7" t="s">
        <v>45</v>
      </c>
      <c r="P845" s="7" t="s">
        <v>46</v>
      </c>
      <c r="Q845" s="7" t="s">
        <v>25</v>
      </c>
      <c r="R845" s="10">
        <v>-12625.1</v>
      </c>
      <c r="S845" s="10">
        <v>-2063.65</v>
      </c>
      <c r="T845" s="9" t="s">
        <v>29</v>
      </c>
      <c r="U845" s="9"/>
      <c r="V845" s="9"/>
      <c r="W845" s="9"/>
      <c r="X845" s="9"/>
      <c r="Y845" s="9"/>
      <c r="Z845" s="9"/>
      <c r="AA845" s="9"/>
      <c r="AB845" s="9"/>
    </row>
    <row r="846">
      <c r="A846" s="5">
        <v>42482.0</v>
      </c>
      <c r="B846" s="6">
        <v>2016.0</v>
      </c>
      <c r="C846" s="7" t="s">
        <v>72</v>
      </c>
      <c r="D846" s="7" t="s">
        <v>60</v>
      </c>
      <c r="E846" s="7" t="s">
        <v>37</v>
      </c>
      <c r="F846" s="6">
        <v>10269.0</v>
      </c>
      <c r="G846" s="6">
        <v>351146.02</v>
      </c>
      <c r="H846" s="6">
        <v>34.19</v>
      </c>
      <c r="I846" s="8">
        <v>37.01413574836887</v>
      </c>
      <c r="J846" s="6">
        <v>380098.16</v>
      </c>
      <c r="K846" s="6">
        <v>-28952.14</v>
      </c>
      <c r="L846" s="6">
        <v>-8.25</v>
      </c>
      <c r="M846" s="6">
        <f t="shared" si="1"/>
        <v>-2.81937287</v>
      </c>
      <c r="N846" s="6">
        <v>-8.25</v>
      </c>
      <c r="O846" s="7" t="s">
        <v>45</v>
      </c>
      <c r="P846" s="7" t="s">
        <v>46</v>
      </c>
      <c r="Q846" s="7" t="s">
        <v>25</v>
      </c>
      <c r="R846" s="10">
        <v>-14688.74</v>
      </c>
      <c r="S846" s="10">
        <v>-14263.4</v>
      </c>
      <c r="T846" s="9" t="s">
        <v>29</v>
      </c>
      <c r="U846" s="9"/>
      <c r="V846" s="9"/>
      <c r="W846" s="9"/>
      <c r="X846" s="9"/>
      <c r="Y846" s="9"/>
      <c r="Z846" s="9"/>
      <c r="AA846" s="9"/>
      <c r="AB846" s="9"/>
    </row>
    <row r="847">
      <c r="A847" s="5">
        <v>42483.0</v>
      </c>
      <c r="B847" s="6">
        <v>2016.0</v>
      </c>
      <c r="C847" s="7" t="s">
        <v>72</v>
      </c>
      <c r="D847" s="7" t="s">
        <v>61</v>
      </c>
      <c r="E847" s="7" t="s">
        <v>39</v>
      </c>
      <c r="F847" s="6">
        <v>12317.0</v>
      </c>
      <c r="G847" s="6">
        <v>420738.82</v>
      </c>
      <c r="H847" s="6">
        <v>34.16</v>
      </c>
      <c r="I847" s="8">
        <v>36.97453519525858</v>
      </c>
      <c r="J847" s="6">
        <v>455415.35</v>
      </c>
      <c r="K847" s="6">
        <v>-34676.53</v>
      </c>
      <c r="L847" s="6">
        <v>-8.24</v>
      </c>
      <c r="M847" s="6">
        <f t="shared" si="1"/>
        <v>-2.815338962</v>
      </c>
      <c r="N847" s="6">
        <v>-8.24</v>
      </c>
      <c r="O847" s="7" t="s">
        <v>45</v>
      </c>
      <c r="P847" s="7" t="s">
        <v>46</v>
      </c>
      <c r="Q847" s="7" t="s">
        <v>25</v>
      </c>
      <c r="R847" s="10">
        <v>-28952.14</v>
      </c>
      <c r="S847" s="10">
        <v>-5724.39</v>
      </c>
      <c r="T847" s="9" t="s">
        <v>29</v>
      </c>
      <c r="U847" s="9"/>
      <c r="V847" s="9"/>
      <c r="W847" s="9"/>
      <c r="X847" s="9"/>
      <c r="Y847" s="9"/>
      <c r="Z847" s="9"/>
      <c r="AA847" s="9"/>
      <c r="AB847" s="9"/>
    </row>
    <row r="848">
      <c r="A848" s="5">
        <v>42484.0</v>
      </c>
      <c r="B848" s="6">
        <v>2016.0</v>
      </c>
      <c r="C848" s="7" t="s">
        <v>72</v>
      </c>
      <c r="D848" s="7" t="s">
        <v>62</v>
      </c>
      <c r="E848" s="7" t="s">
        <v>41</v>
      </c>
      <c r="F848" s="6">
        <v>5453.0</v>
      </c>
      <c r="G848" s="6">
        <v>186166.15</v>
      </c>
      <c r="H848" s="6">
        <v>34.14</v>
      </c>
      <c r="I848" s="8">
        <v>37.11556574362736</v>
      </c>
      <c r="J848" s="6">
        <v>202391.18</v>
      </c>
      <c r="K848" s="6">
        <v>-16225.03</v>
      </c>
      <c r="L848" s="6">
        <v>-8.72</v>
      </c>
      <c r="M848" s="6">
        <f t="shared" si="1"/>
        <v>-2.975431872</v>
      </c>
      <c r="N848" s="6">
        <v>-8.72</v>
      </c>
      <c r="O848" s="7" t="s">
        <v>45</v>
      </c>
      <c r="P848" s="7" t="s">
        <v>46</v>
      </c>
      <c r="Q848" s="7" t="s">
        <v>25</v>
      </c>
      <c r="R848" s="10">
        <v>-34676.53</v>
      </c>
      <c r="S848" s="10">
        <v>18451.5</v>
      </c>
      <c r="T848" s="9" t="s">
        <v>33</v>
      </c>
      <c r="U848" s="9"/>
      <c r="V848" s="9"/>
      <c r="W848" s="9"/>
      <c r="X848" s="9"/>
      <c r="Y848" s="9"/>
      <c r="Z848" s="9"/>
      <c r="AA848" s="9"/>
      <c r="AB848" s="9"/>
    </row>
    <row r="849">
      <c r="A849" s="5">
        <v>42485.0</v>
      </c>
      <c r="B849" s="6">
        <v>2016.0</v>
      </c>
      <c r="C849" s="7" t="s">
        <v>72</v>
      </c>
      <c r="D849" s="7" t="s">
        <v>63</v>
      </c>
      <c r="E849" s="7" t="s">
        <v>22</v>
      </c>
      <c r="F849" s="6">
        <v>7372.0</v>
      </c>
      <c r="G849" s="6">
        <v>251449.53</v>
      </c>
      <c r="H849" s="6">
        <v>34.11</v>
      </c>
      <c r="I849" s="8">
        <v>37.06661692892023</v>
      </c>
      <c r="J849" s="6">
        <v>273255.1</v>
      </c>
      <c r="K849" s="6">
        <v>-21805.57</v>
      </c>
      <c r="L849" s="6">
        <v>-8.67</v>
      </c>
      <c r="M849" s="6">
        <f t="shared" si="1"/>
        <v>-2.957890667</v>
      </c>
      <c r="N849" s="6">
        <v>-8.67</v>
      </c>
      <c r="O849" s="7" t="s">
        <v>45</v>
      </c>
      <c r="P849" s="7" t="s">
        <v>46</v>
      </c>
      <c r="Q849" s="7" t="s">
        <v>25</v>
      </c>
      <c r="R849" s="10">
        <v>-16225.03</v>
      </c>
      <c r="S849" s="10">
        <v>-5580.54</v>
      </c>
      <c r="T849" s="9" t="s">
        <v>29</v>
      </c>
      <c r="U849" s="9"/>
      <c r="V849" s="9"/>
      <c r="W849" s="9"/>
      <c r="X849" s="9"/>
      <c r="Y849" s="9"/>
      <c r="Z849" s="9"/>
      <c r="AA849" s="9"/>
      <c r="AB849" s="9"/>
    </row>
    <row r="850">
      <c r="A850" s="5">
        <v>42486.0</v>
      </c>
      <c r="B850" s="6">
        <v>2016.0</v>
      </c>
      <c r="C850" s="7" t="s">
        <v>72</v>
      </c>
      <c r="D850" s="7" t="s">
        <v>64</v>
      </c>
      <c r="E850" s="7" t="s">
        <v>28</v>
      </c>
      <c r="F850" s="6">
        <v>8211.0</v>
      </c>
      <c r="G850" s="6">
        <v>280321.81</v>
      </c>
      <c r="H850" s="6">
        <v>34.14</v>
      </c>
      <c r="I850" s="8">
        <v>36.83714894653514</v>
      </c>
      <c r="J850" s="6">
        <v>302469.83</v>
      </c>
      <c r="K850" s="6">
        <v>-22148.02</v>
      </c>
      <c r="L850" s="6">
        <v>-7.9</v>
      </c>
      <c r="M850" s="6">
        <f t="shared" si="1"/>
        <v>-2.69735964</v>
      </c>
      <c r="N850" s="6">
        <v>-7.9</v>
      </c>
      <c r="O850" s="7" t="s">
        <v>45</v>
      </c>
      <c r="P850" s="7" t="s">
        <v>46</v>
      </c>
      <c r="Q850" s="7" t="s">
        <v>25</v>
      </c>
      <c r="R850" s="10">
        <v>-21805.57</v>
      </c>
      <c r="S850" s="10">
        <v>-342.45</v>
      </c>
      <c r="T850" s="9" t="s">
        <v>29</v>
      </c>
      <c r="U850" s="9"/>
      <c r="V850" s="9"/>
      <c r="W850" s="9"/>
      <c r="X850" s="9"/>
      <c r="Y850" s="9"/>
      <c r="Z850" s="9"/>
      <c r="AA850" s="9"/>
      <c r="AB850" s="9"/>
    </row>
    <row r="851">
      <c r="A851" s="5">
        <v>42487.0</v>
      </c>
      <c r="B851" s="6">
        <v>2016.0</v>
      </c>
      <c r="C851" s="7" t="s">
        <v>72</v>
      </c>
      <c r="D851" s="7" t="s">
        <v>65</v>
      </c>
      <c r="E851" s="7" t="s">
        <v>32</v>
      </c>
      <c r="F851" s="6">
        <v>9182.0</v>
      </c>
      <c r="G851" s="6">
        <v>313434.93</v>
      </c>
      <c r="H851" s="6">
        <v>34.14</v>
      </c>
      <c r="I851" s="8">
        <v>36.803650620779784</v>
      </c>
      <c r="J851" s="6">
        <v>337931.12</v>
      </c>
      <c r="K851" s="6">
        <v>-24496.18</v>
      </c>
      <c r="L851" s="6">
        <v>-7.82</v>
      </c>
      <c r="M851" s="6">
        <f t="shared" si="1"/>
        <v>-2.667847963</v>
      </c>
      <c r="N851" s="6">
        <v>-7.82</v>
      </c>
      <c r="O851" s="7" t="s">
        <v>45</v>
      </c>
      <c r="P851" s="7" t="s">
        <v>46</v>
      </c>
      <c r="Q851" s="7" t="s">
        <v>25</v>
      </c>
      <c r="R851" s="10">
        <v>-22148.02</v>
      </c>
      <c r="S851" s="10">
        <v>-2348.16</v>
      </c>
      <c r="T851" s="9" t="s">
        <v>29</v>
      </c>
      <c r="U851" s="9"/>
      <c r="V851" s="9"/>
      <c r="W851" s="9"/>
      <c r="X851" s="9"/>
      <c r="Y851" s="9"/>
      <c r="Z851" s="9"/>
      <c r="AA851" s="9"/>
      <c r="AB851" s="9"/>
    </row>
    <row r="852">
      <c r="A852" s="5">
        <v>42488.0</v>
      </c>
      <c r="B852" s="6">
        <v>2016.0</v>
      </c>
      <c r="C852" s="7" t="s">
        <v>72</v>
      </c>
      <c r="D852" s="7" t="s">
        <v>66</v>
      </c>
      <c r="E852" s="7" t="s">
        <v>35</v>
      </c>
      <c r="F852" s="6">
        <v>7520.0</v>
      </c>
      <c r="G852" s="6">
        <v>257324.6</v>
      </c>
      <c r="H852" s="6">
        <v>34.22</v>
      </c>
      <c r="I852" s="8">
        <v>36.815449468085106</v>
      </c>
      <c r="J852" s="6">
        <v>276852.18</v>
      </c>
      <c r="K852" s="6">
        <v>-19527.58</v>
      </c>
      <c r="L852" s="6">
        <v>-7.59</v>
      </c>
      <c r="M852" s="6">
        <f t="shared" si="1"/>
        <v>-2.59675266</v>
      </c>
      <c r="N852" s="6">
        <v>-7.59</v>
      </c>
      <c r="O852" s="7" t="s">
        <v>45</v>
      </c>
      <c r="P852" s="7" t="s">
        <v>46</v>
      </c>
      <c r="Q852" s="7" t="s">
        <v>25</v>
      </c>
      <c r="R852" s="10">
        <v>-24496.18</v>
      </c>
      <c r="S852" s="10">
        <v>4968.61</v>
      </c>
      <c r="T852" s="9" t="s">
        <v>33</v>
      </c>
      <c r="U852" s="9"/>
      <c r="V852" s="9"/>
      <c r="W852" s="9"/>
      <c r="X852" s="9"/>
      <c r="Y852" s="9"/>
      <c r="Z852" s="9"/>
      <c r="AA852" s="9"/>
      <c r="AB852" s="9"/>
    </row>
    <row r="853">
      <c r="A853" s="5">
        <v>42489.0</v>
      </c>
      <c r="B853" s="6">
        <v>2016.0</v>
      </c>
      <c r="C853" s="7" t="s">
        <v>72</v>
      </c>
      <c r="D853" s="7" t="s">
        <v>67</v>
      </c>
      <c r="E853" s="7" t="s">
        <v>37</v>
      </c>
      <c r="F853" s="6">
        <v>13321.0</v>
      </c>
      <c r="G853" s="6">
        <v>455554.34</v>
      </c>
      <c r="H853" s="6">
        <v>34.2</v>
      </c>
      <c r="I853" s="8">
        <v>36.725100968395765</v>
      </c>
      <c r="J853" s="6">
        <v>489215.07</v>
      </c>
      <c r="K853" s="6">
        <v>-33660.73</v>
      </c>
      <c r="L853" s="6">
        <v>-7.39</v>
      </c>
      <c r="M853" s="6">
        <f t="shared" si="1"/>
        <v>-2.526892125</v>
      </c>
      <c r="N853" s="6">
        <v>-7.39</v>
      </c>
      <c r="O853" s="7" t="s">
        <v>45</v>
      </c>
      <c r="P853" s="7" t="s">
        <v>46</v>
      </c>
      <c r="Q853" s="7" t="s">
        <v>25</v>
      </c>
      <c r="R853" s="10">
        <v>-19527.58</v>
      </c>
      <c r="S853" s="10">
        <v>-14133.15</v>
      </c>
      <c r="T853" s="9" t="s">
        <v>29</v>
      </c>
      <c r="U853" s="9"/>
      <c r="V853" s="9"/>
      <c r="W853" s="9"/>
      <c r="X853" s="9"/>
      <c r="Y853" s="9"/>
      <c r="Z853" s="9"/>
      <c r="AA853" s="9"/>
      <c r="AB853" s="9"/>
    </row>
    <row r="854">
      <c r="A854" s="5">
        <v>42490.0</v>
      </c>
      <c r="B854" s="6">
        <v>2016.0</v>
      </c>
      <c r="C854" s="7" t="s">
        <v>72</v>
      </c>
      <c r="D854" s="7" t="s">
        <v>21</v>
      </c>
      <c r="E854" s="7" t="s">
        <v>39</v>
      </c>
      <c r="F854" s="6">
        <v>16276.0</v>
      </c>
      <c r="G854" s="6">
        <v>556865.2</v>
      </c>
      <c r="H854" s="6">
        <v>34.21</v>
      </c>
      <c r="I854" s="8">
        <v>36.79808736790366</v>
      </c>
      <c r="J854" s="6">
        <v>598925.67</v>
      </c>
      <c r="K854" s="6">
        <v>-42060.46</v>
      </c>
      <c r="L854" s="6">
        <v>-7.55</v>
      </c>
      <c r="M854" s="6">
        <f t="shared" si="1"/>
        <v>-2.584201278</v>
      </c>
      <c r="N854" s="6">
        <v>-7.55</v>
      </c>
      <c r="O854" s="7" t="s">
        <v>45</v>
      </c>
      <c r="P854" s="7" t="s">
        <v>46</v>
      </c>
      <c r="Q854" s="7" t="s">
        <v>25</v>
      </c>
      <c r="R854" s="10">
        <v>-33660.73</v>
      </c>
      <c r="S854" s="10">
        <v>-8399.73</v>
      </c>
      <c r="T854" s="9" t="s">
        <v>29</v>
      </c>
      <c r="U854" s="9"/>
      <c r="V854" s="9"/>
      <c r="W854" s="9"/>
      <c r="X854" s="9"/>
      <c r="Y854" s="9"/>
      <c r="Z854" s="9"/>
      <c r="AA854" s="9"/>
      <c r="AB854" s="9"/>
    </row>
    <row r="855">
      <c r="A855" s="5">
        <v>42491.0</v>
      </c>
      <c r="B855" s="6">
        <v>2016.0</v>
      </c>
      <c r="C855" s="7" t="s">
        <v>74</v>
      </c>
      <c r="D855" s="7" t="s">
        <v>31</v>
      </c>
      <c r="E855" s="7" t="s">
        <v>41</v>
      </c>
      <c r="F855" s="6">
        <v>10388.0</v>
      </c>
      <c r="G855" s="6">
        <v>354856.04</v>
      </c>
      <c r="H855" s="6">
        <v>34.16</v>
      </c>
      <c r="I855" s="8">
        <v>36.629876780901036</v>
      </c>
      <c r="J855" s="6">
        <v>380511.16</v>
      </c>
      <c r="K855" s="6">
        <v>-25655.11</v>
      </c>
      <c r="L855" s="6">
        <v>-7.23</v>
      </c>
      <c r="M855" s="6">
        <f t="shared" si="1"/>
        <v>-2.469687139</v>
      </c>
      <c r="N855" s="6">
        <v>-7.23</v>
      </c>
      <c r="O855" s="7" t="s">
        <v>45</v>
      </c>
      <c r="P855" s="7" t="s">
        <v>46</v>
      </c>
      <c r="Q855" s="7" t="s">
        <v>25</v>
      </c>
      <c r="R855" s="10">
        <v>-42060.46</v>
      </c>
      <c r="S855" s="10">
        <v>16405.35</v>
      </c>
      <c r="T855" s="9" t="s">
        <v>33</v>
      </c>
      <c r="U855" s="9"/>
      <c r="V855" s="9"/>
      <c r="W855" s="9"/>
      <c r="X855" s="9"/>
      <c r="Y855" s="9"/>
      <c r="Z855" s="9"/>
      <c r="AA855" s="9"/>
      <c r="AB855" s="9"/>
    </row>
    <row r="856">
      <c r="A856" s="5">
        <v>42492.0</v>
      </c>
      <c r="B856" s="6">
        <v>2016.0</v>
      </c>
      <c r="C856" s="7" t="s">
        <v>74</v>
      </c>
      <c r="D856" s="7" t="s">
        <v>34</v>
      </c>
      <c r="E856" s="7" t="s">
        <v>22</v>
      </c>
      <c r="F856" s="6">
        <v>8298.0</v>
      </c>
      <c r="G856" s="6">
        <v>283284.58</v>
      </c>
      <c r="H856" s="6">
        <v>34.14</v>
      </c>
      <c r="I856" s="8">
        <v>36.75558568329718</v>
      </c>
      <c r="J856" s="6">
        <v>304997.85</v>
      </c>
      <c r="K856" s="6">
        <v>-21713.27</v>
      </c>
      <c r="L856" s="6">
        <v>-7.66</v>
      </c>
      <c r="M856" s="6">
        <f t="shared" si="1"/>
        <v>-2.616687154</v>
      </c>
      <c r="N856" s="6">
        <v>-7.66</v>
      </c>
      <c r="O856" s="7" t="s">
        <v>45</v>
      </c>
      <c r="P856" s="7" t="s">
        <v>46</v>
      </c>
      <c r="Q856" s="7" t="s">
        <v>25</v>
      </c>
      <c r="R856" s="10">
        <v>-25655.11</v>
      </c>
      <c r="S856" s="10">
        <v>3941.84</v>
      </c>
      <c r="T856" s="9" t="s">
        <v>33</v>
      </c>
      <c r="U856" s="9"/>
      <c r="V856" s="9"/>
      <c r="W856" s="9"/>
      <c r="X856" s="9"/>
      <c r="Y856" s="9"/>
      <c r="Z856" s="9"/>
      <c r="AA856" s="9"/>
      <c r="AB856" s="9"/>
    </row>
    <row r="857">
      <c r="A857" s="5">
        <v>42493.0</v>
      </c>
      <c r="B857" s="6">
        <v>2016.0</v>
      </c>
      <c r="C857" s="7" t="s">
        <v>74</v>
      </c>
      <c r="D857" s="7" t="s">
        <v>36</v>
      </c>
      <c r="E857" s="7" t="s">
        <v>28</v>
      </c>
      <c r="F857" s="6">
        <v>8717.0</v>
      </c>
      <c r="G857" s="6">
        <v>297500.67</v>
      </c>
      <c r="H857" s="6">
        <v>34.13</v>
      </c>
      <c r="I857" s="8">
        <v>36.68536881954801</v>
      </c>
      <c r="J857" s="6">
        <v>319786.36</v>
      </c>
      <c r="K857" s="6">
        <v>-22285.69</v>
      </c>
      <c r="L857" s="6">
        <v>-7.49</v>
      </c>
      <c r="M857" s="6">
        <f t="shared" si="1"/>
        <v>-2.556577951</v>
      </c>
      <c r="N857" s="6">
        <v>-7.49</v>
      </c>
      <c r="O857" s="7" t="s">
        <v>45</v>
      </c>
      <c r="P857" s="7" t="s">
        <v>46</v>
      </c>
      <c r="Q857" s="7" t="s">
        <v>25</v>
      </c>
      <c r="R857" s="10">
        <v>-21713.27</v>
      </c>
      <c r="S857" s="10">
        <v>-572.41</v>
      </c>
      <c r="T857" s="9" t="s">
        <v>29</v>
      </c>
      <c r="U857" s="9"/>
      <c r="V857" s="9"/>
      <c r="W857" s="9"/>
      <c r="X857" s="9"/>
      <c r="Y857" s="9"/>
      <c r="Z857" s="9"/>
      <c r="AA857" s="9"/>
      <c r="AB857" s="9"/>
    </row>
    <row r="858">
      <c r="A858" s="5">
        <v>42494.0</v>
      </c>
      <c r="B858" s="6">
        <v>2016.0</v>
      </c>
      <c r="C858" s="7" t="s">
        <v>74</v>
      </c>
      <c r="D858" s="7" t="s">
        <v>38</v>
      </c>
      <c r="E858" s="7" t="s">
        <v>32</v>
      </c>
      <c r="F858" s="6">
        <v>8364.0</v>
      </c>
      <c r="G858" s="6">
        <v>285968.49</v>
      </c>
      <c r="H858" s="6">
        <v>34.19</v>
      </c>
      <c r="I858" s="8">
        <v>36.52642276422764</v>
      </c>
      <c r="J858" s="6">
        <v>305507.0</v>
      </c>
      <c r="K858" s="6">
        <v>-19538.51</v>
      </c>
      <c r="L858" s="6">
        <v>-6.83</v>
      </c>
      <c r="M858" s="6">
        <f t="shared" si="1"/>
        <v>-2.336024629</v>
      </c>
      <c r="N858" s="6">
        <v>-6.83</v>
      </c>
      <c r="O858" s="7" t="s">
        <v>45</v>
      </c>
      <c r="P858" s="7" t="s">
        <v>46</v>
      </c>
      <c r="Q858" s="7" t="s">
        <v>25</v>
      </c>
      <c r="R858" s="10">
        <v>-22285.69</v>
      </c>
      <c r="S858" s="10">
        <v>2747.18</v>
      </c>
      <c r="T858" s="9" t="s">
        <v>33</v>
      </c>
      <c r="U858" s="9"/>
      <c r="V858" s="9"/>
      <c r="W858" s="9"/>
      <c r="X858" s="9"/>
      <c r="Y858" s="9"/>
      <c r="Z858" s="9"/>
      <c r="AA858" s="9"/>
      <c r="AB858" s="9"/>
    </row>
    <row r="859">
      <c r="A859" s="5">
        <v>42495.0</v>
      </c>
      <c r="B859" s="6">
        <v>2016.0</v>
      </c>
      <c r="C859" s="7" t="s">
        <v>74</v>
      </c>
      <c r="D859" s="7" t="s">
        <v>40</v>
      </c>
      <c r="E859" s="7" t="s">
        <v>35</v>
      </c>
      <c r="F859" s="6">
        <v>6968.0</v>
      </c>
      <c r="G859" s="6">
        <v>237946.63</v>
      </c>
      <c r="H859" s="6">
        <v>34.15</v>
      </c>
      <c r="I859" s="8">
        <v>36.52804535017222</v>
      </c>
      <c r="J859" s="6">
        <v>254527.42</v>
      </c>
      <c r="K859" s="6">
        <v>-16580.78</v>
      </c>
      <c r="L859" s="6">
        <v>-6.97</v>
      </c>
      <c r="M859" s="6">
        <f t="shared" si="1"/>
        <v>-2.37956085</v>
      </c>
      <c r="N859" s="6">
        <v>-6.97</v>
      </c>
      <c r="O859" s="7" t="s">
        <v>45</v>
      </c>
      <c r="P859" s="7" t="s">
        <v>46</v>
      </c>
      <c r="Q859" s="7" t="s">
        <v>25</v>
      </c>
      <c r="R859" s="10">
        <v>-19538.51</v>
      </c>
      <c r="S859" s="10">
        <v>2957.73</v>
      </c>
      <c r="T859" s="9" t="s">
        <v>33</v>
      </c>
      <c r="U859" s="9"/>
      <c r="V859" s="9"/>
      <c r="W859" s="9"/>
      <c r="X859" s="9"/>
      <c r="Y859" s="9"/>
      <c r="Z859" s="9"/>
      <c r="AA859" s="9"/>
      <c r="AB859" s="9"/>
    </row>
    <row r="860">
      <c r="A860" s="5">
        <v>42496.0</v>
      </c>
      <c r="B860" s="6">
        <v>2016.0</v>
      </c>
      <c r="C860" s="7" t="s">
        <v>74</v>
      </c>
      <c r="D860" s="7" t="s">
        <v>42</v>
      </c>
      <c r="E860" s="7" t="s">
        <v>37</v>
      </c>
      <c r="F860" s="6">
        <v>9973.0</v>
      </c>
      <c r="G860" s="6">
        <v>340851.51</v>
      </c>
      <c r="H860" s="6">
        <v>34.18</v>
      </c>
      <c r="I860" s="8">
        <v>36.534746816404294</v>
      </c>
      <c r="J860" s="6">
        <v>364361.03</v>
      </c>
      <c r="K860" s="6">
        <v>-23509.53</v>
      </c>
      <c r="L860" s="6">
        <v>-6.9</v>
      </c>
      <c r="M860" s="6">
        <f t="shared" si="1"/>
        <v>-2.357317758</v>
      </c>
      <c r="N860" s="6">
        <v>-6.9</v>
      </c>
      <c r="O860" s="7" t="s">
        <v>45</v>
      </c>
      <c r="P860" s="7" t="s">
        <v>46</v>
      </c>
      <c r="Q860" s="7" t="s">
        <v>25</v>
      </c>
      <c r="R860" s="10">
        <v>-16580.78</v>
      </c>
      <c r="S860" s="10">
        <v>-6928.74</v>
      </c>
      <c r="T860" s="9" t="s">
        <v>29</v>
      </c>
      <c r="U860" s="9"/>
      <c r="V860" s="9"/>
      <c r="W860" s="9"/>
      <c r="X860" s="9"/>
      <c r="Y860" s="9"/>
      <c r="Z860" s="9"/>
      <c r="AA860" s="9"/>
      <c r="AB860" s="9"/>
    </row>
    <row r="861">
      <c r="A861" s="5">
        <v>42497.0</v>
      </c>
      <c r="B861" s="6">
        <v>2016.0</v>
      </c>
      <c r="C861" s="7" t="s">
        <v>74</v>
      </c>
      <c r="D861" s="7" t="s">
        <v>43</v>
      </c>
      <c r="E861" s="7" t="s">
        <v>39</v>
      </c>
      <c r="F861" s="6">
        <v>11363.0</v>
      </c>
      <c r="G861" s="6">
        <v>388187.6</v>
      </c>
      <c r="H861" s="6">
        <v>34.16</v>
      </c>
      <c r="I861" s="8">
        <v>36.49077004312242</v>
      </c>
      <c r="J861" s="6">
        <v>414644.62</v>
      </c>
      <c r="K861" s="6">
        <v>-26457.02</v>
      </c>
      <c r="L861" s="6">
        <v>-6.82</v>
      </c>
      <c r="M861" s="6">
        <f t="shared" si="1"/>
        <v>-2.328348147</v>
      </c>
      <c r="N861" s="6">
        <v>-6.82</v>
      </c>
      <c r="O861" s="7" t="s">
        <v>45</v>
      </c>
      <c r="P861" s="7" t="s">
        <v>46</v>
      </c>
      <c r="Q861" s="7" t="s">
        <v>25</v>
      </c>
      <c r="R861" s="10">
        <v>-23509.53</v>
      </c>
      <c r="S861" s="10">
        <v>-2947.5</v>
      </c>
      <c r="T861" s="9" t="s">
        <v>29</v>
      </c>
      <c r="U861" s="9"/>
      <c r="V861" s="9"/>
      <c r="W861" s="9"/>
      <c r="X861" s="9"/>
      <c r="Y861" s="9"/>
      <c r="Z861" s="9"/>
      <c r="AA861" s="9"/>
      <c r="AB861" s="9"/>
    </row>
    <row r="862">
      <c r="A862" s="5">
        <v>42498.0</v>
      </c>
      <c r="B862" s="6">
        <v>2016.0</v>
      </c>
      <c r="C862" s="7" t="s">
        <v>74</v>
      </c>
      <c r="D862" s="7" t="s">
        <v>44</v>
      </c>
      <c r="E862" s="7" t="s">
        <v>41</v>
      </c>
      <c r="F862" s="6">
        <v>4074.0</v>
      </c>
      <c r="G862" s="6">
        <v>139178.98</v>
      </c>
      <c r="H862" s="6">
        <v>34.16</v>
      </c>
      <c r="I862" s="8">
        <v>36.50738586156112</v>
      </c>
      <c r="J862" s="6">
        <v>148731.09</v>
      </c>
      <c r="K862" s="6">
        <v>-9552.11</v>
      </c>
      <c r="L862" s="6">
        <v>-6.86</v>
      </c>
      <c r="M862" s="6">
        <f t="shared" si="1"/>
        <v>-2.344651448</v>
      </c>
      <c r="N862" s="6">
        <v>-6.86</v>
      </c>
      <c r="O862" s="7" t="s">
        <v>45</v>
      </c>
      <c r="P862" s="7" t="s">
        <v>46</v>
      </c>
      <c r="Q862" s="7" t="s">
        <v>25</v>
      </c>
      <c r="R862" s="10">
        <v>-26457.02</v>
      </c>
      <c r="S862" s="10">
        <v>16904.92</v>
      </c>
      <c r="T862" s="9" t="s">
        <v>33</v>
      </c>
      <c r="U862" s="9"/>
      <c r="V862" s="9"/>
      <c r="W862" s="9"/>
      <c r="X862" s="9"/>
      <c r="Y862" s="9"/>
      <c r="Z862" s="9"/>
      <c r="AA862" s="9"/>
      <c r="AB862" s="9"/>
    </row>
    <row r="863">
      <c r="A863" s="5">
        <v>42499.0</v>
      </c>
      <c r="B863" s="6">
        <v>2016.0</v>
      </c>
      <c r="C863" s="7" t="s">
        <v>74</v>
      </c>
      <c r="D863" s="7" t="s">
        <v>47</v>
      </c>
      <c r="E863" s="7" t="s">
        <v>22</v>
      </c>
      <c r="F863" s="6">
        <v>1579.0</v>
      </c>
      <c r="G863" s="6">
        <v>66400.3</v>
      </c>
      <c r="H863" s="6">
        <v>42.05</v>
      </c>
      <c r="I863" s="8">
        <v>36.568549715009496</v>
      </c>
      <c r="J863" s="6">
        <v>57741.74</v>
      </c>
      <c r="K863" s="6">
        <v>8658.56</v>
      </c>
      <c r="L863" s="6">
        <v>13.04</v>
      </c>
      <c r="M863" s="6">
        <f t="shared" si="1"/>
        <v>5.483571881</v>
      </c>
      <c r="N863" s="6">
        <v>13.04</v>
      </c>
      <c r="O863" s="7" t="s">
        <v>45</v>
      </c>
      <c r="P863" s="7" t="s">
        <v>46</v>
      </c>
      <c r="Q863" s="7" t="s">
        <v>25</v>
      </c>
      <c r="R863" s="10">
        <v>-9552.11</v>
      </c>
      <c r="S863" s="10">
        <v>18210.67</v>
      </c>
      <c r="T863" s="9" t="s">
        <v>33</v>
      </c>
      <c r="U863" s="9"/>
      <c r="V863" s="9"/>
      <c r="W863" s="9"/>
      <c r="X863" s="9"/>
      <c r="Y863" s="9"/>
      <c r="Z863" s="9"/>
      <c r="AA863" s="9"/>
      <c r="AB863" s="9"/>
    </row>
    <row r="864">
      <c r="A864" s="5">
        <v>42500.0</v>
      </c>
      <c r="B864" s="6">
        <v>2016.0</v>
      </c>
      <c r="C864" s="7" t="s">
        <v>74</v>
      </c>
      <c r="D864" s="7" t="s">
        <v>48</v>
      </c>
      <c r="E864" s="7" t="s">
        <v>28</v>
      </c>
      <c r="F864" s="6">
        <v>1016.0</v>
      </c>
      <c r="G864" s="6">
        <v>42723.52</v>
      </c>
      <c r="H864" s="6">
        <v>42.05</v>
      </c>
      <c r="I864" s="8">
        <v>36.52853346456693</v>
      </c>
      <c r="J864" s="6">
        <v>37112.99</v>
      </c>
      <c r="K864" s="6">
        <v>5610.54</v>
      </c>
      <c r="L864" s="6">
        <v>13.13</v>
      </c>
      <c r="M864" s="6">
        <f t="shared" si="1"/>
        <v>5.522185039</v>
      </c>
      <c r="N864" s="6">
        <v>13.13</v>
      </c>
      <c r="O864" s="7" t="s">
        <v>45</v>
      </c>
      <c r="P864" s="7" t="s">
        <v>46</v>
      </c>
      <c r="Q864" s="7" t="s">
        <v>25</v>
      </c>
      <c r="R864" s="10">
        <v>8658.56</v>
      </c>
      <c r="S864" s="10">
        <v>-3048.02</v>
      </c>
      <c r="T864" s="9" t="s">
        <v>29</v>
      </c>
      <c r="U864" s="9"/>
      <c r="V864" s="9"/>
      <c r="W864" s="9"/>
      <c r="X864" s="9"/>
      <c r="Y864" s="9"/>
      <c r="Z864" s="9"/>
      <c r="AA864" s="9"/>
      <c r="AB864" s="9"/>
    </row>
    <row r="865">
      <c r="A865" s="5">
        <v>42501.0</v>
      </c>
      <c r="B865" s="6">
        <v>2016.0</v>
      </c>
      <c r="C865" s="7" t="s">
        <v>74</v>
      </c>
      <c r="D865" s="7" t="s">
        <v>49</v>
      </c>
      <c r="E865" s="7" t="s">
        <v>32</v>
      </c>
      <c r="F865" s="6">
        <v>832.0</v>
      </c>
      <c r="G865" s="6">
        <v>35014.4</v>
      </c>
      <c r="H865" s="6">
        <v>42.08</v>
      </c>
      <c r="I865" s="8">
        <v>36.5309375</v>
      </c>
      <c r="J865" s="6">
        <v>30393.74</v>
      </c>
      <c r="K865" s="6">
        <v>4620.66</v>
      </c>
      <c r="L865" s="6">
        <v>13.2</v>
      </c>
      <c r="M865" s="6">
        <f t="shared" si="1"/>
        <v>5.553677885</v>
      </c>
      <c r="N865" s="6">
        <v>13.2</v>
      </c>
      <c r="O865" s="7" t="s">
        <v>45</v>
      </c>
      <c r="P865" s="7" t="s">
        <v>46</v>
      </c>
      <c r="Q865" s="7" t="s">
        <v>25</v>
      </c>
      <c r="R865" s="10">
        <v>5610.54</v>
      </c>
      <c r="S865" s="10">
        <v>-989.88</v>
      </c>
      <c r="T865" s="9" t="s">
        <v>29</v>
      </c>
      <c r="U865" s="9"/>
      <c r="V865" s="9"/>
      <c r="W865" s="9"/>
      <c r="X865" s="9"/>
      <c r="Y865" s="9"/>
      <c r="Z865" s="9"/>
      <c r="AA865" s="9"/>
      <c r="AB865" s="9"/>
    </row>
    <row r="866">
      <c r="A866" s="5">
        <v>42502.0</v>
      </c>
      <c r="B866" s="6">
        <v>2016.0</v>
      </c>
      <c r="C866" s="7" t="s">
        <v>74</v>
      </c>
      <c r="D866" s="7" t="s">
        <v>50</v>
      </c>
      <c r="E866" s="7" t="s">
        <v>35</v>
      </c>
      <c r="F866" s="6">
        <v>647.0</v>
      </c>
      <c r="G866" s="6">
        <v>27210.41</v>
      </c>
      <c r="H866" s="6">
        <v>42.06</v>
      </c>
      <c r="I866" s="8">
        <v>36.4299227202473</v>
      </c>
      <c r="J866" s="6">
        <v>23570.16</v>
      </c>
      <c r="K866" s="6">
        <v>3640.25</v>
      </c>
      <c r="L866" s="6">
        <v>13.38</v>
      </c>
      <c r="M866" s="6">
        <f t="shared" si="1"/>
        <v>5.626352396</v>
      </c>
      <c r="N866" s="6">
        <v>13.38</v>
      </c>
      <c r="O866" s="7" t="s">
        <v>45</v>
      </c>
      <c r="P866" s="7" t="s">
        <v>46</v>
      </c>
      <c r="Q866" s="7" t="s">
        <v>25</v>
      </c>
      <c r="R866" s="10">
        <v>4620.66</v>
      </c>
      <c r="S866" s="10">
        <v>-980.41</v>
      </c>
      <c r="T866" s="9" t="s">
        <v>29</v>
      </c>
      <c r="U866" s="9"/>
      <c r="V866" s="9"/>
      <c r="W866" s="9"/>
      <c r="X866" s="9"/>
      <c r="Y866" s="9"/>
      <c r="Z866" s="9"/>
      <c r="AA866" s="9"/>
      <c r="AB866" s="9"/>
    </row>
    <row r="867">
      <c r="A867" s="5">
        <v>42503.0</v>
      </c>
      <c r="B867" s="6">
        <v>2016.0</v>
      </c>
      <c r="C867" s="7" t="s">
        <v>74</v>
      </c>
      <c r="D867" s="7" t="s">
        <v>51</v>
      </c>
      <c r="E867" s="7" t="s">
        <v>37</v>
      </c>
      <c r="F867" s="6">
        <v>1898.0</v>
      </c>
      <c r="G867" s="6">
        <v>79840.09</v>
      </c>
      <c r="H867" s="6">
        <v>42.07</v>
      </c>
      <c r="I867" s="8">
        <v>36.39552687038989</v>
      </c>
      <c r="J867" s="6">
        <v>69078.71</v>
      </c>
      <c r="K867" s="6">
        <v>10761.37</v>
      </c>
      <c r="L867" s="6">
        <v>13.48</v>
      </c>
      <c r="M867" s="6">
        <f t="shared" si="1"/>
        <v>5.669847208</v>
      </c>
      <c r="N867" s="6">
        <v>13.48</v>
      </c>
      <c r="O867" s="7" t="s">
        <v>45</v>
      </c>
      <c r="P867" s="7" t="s">
        <v>46</v>
      </c>
      <c r="Q867" s="7" t="s">
        <v>25</v>
      </c>
      <c r="R867" s="10">
        <v>3640.25</v>
      </c>
      <c r="S867" s="10">
        <v>7121.13</v>
      </c>
      <c r="T867" s="9" t="s">
        <v>33</v>
      </c>
      <c r="U867" s="9"/>
      <c r="V867" s="9"/>
      <c r="W867" s="9"/>
      <c r="X867" s="9"/>
      <c r="Y867" s="9"/>
      <c r="Z867" s="9"/>
      <c r="AA867" s="9"/>
      <c r="AB867" s="9"/>
    </row>
    <row r="868">
      <c r="A868" s="5">
        <v>42504.0</v>
      </c>
      <c r="B868" s="6">
        <v>2016.0</v>
      </c>
      <c r="C868" s="7" t="s">
        <v>74</v>
      </c>
      <c r="D868" s="7" t="s">
        <v>52</v>
      </c>
      <c r="E868" s="7" t="s">
        <v>39</v>
      </c>
      <c r="F868" s="6">
        <v>1961.0</v>
      </c>
      <c r="G868" s="6">
        <v>82484.45</v>
      </c>
      <c r="H868" s="6">
        <v>42.06</v>
      </c>
      <c r="I868" s="8">
        <v>36.42325854156043</v>
      </c>
      <c r="J868" s="6">
        <v>71426.01</v>
      </c>
      <c r="K868" s="6">
        <v>11058.44</v>
      </c>
      <c r="L868" s="6">
        <v>13.41</v>
      </c>
      <c r="M868" s="6">
        <f t="shared" si="1"/>
        <v>5.63918409</v>
      </c>
      <c r="N868" s="6">
        <v>13.41</v>
      </c>
      <c r="O868" s="7" t="s">
        <v>45</v>
      </c>
      <c r="P868" s="7" t="s">
        <v>46</v>
      </c>
      <c r="Q868" s="7" t="s">
        <v>25</v>
      </c>
      <c r="R868" s="10">
        <v>10761.37</v>
      </c>
      <c r="S868" s="10">
        <v>297.06</v>
      </c>
      <c r="T868" s="9" t="s">
        <v>33</v>
      </c>
      <c r="U868" s="9"/>
      <c r="V868" s="9"/>
      <c r="W868" s="9"/>
      <c r="X868" s="9"/>
      <c r="Y868" s="9"/>
      <c r="Z868" s="9"/>
      <c r="AA868" s="9"/>
      <c r="AB868" s="9"/>
    </row>
    <row r="869">
      <c r="A869" s="5">
        <v>42505.0</v>
      </c>
      <c r="B869" s="6">
        <v>2016.0</v>
      </c>
      <c r="C869" s="7" t="s">
        <v>74</v>
      </c>
      <c r="D869" s="7" t="s">
        <v>53</v>
      </c>
      <c r="E869" s="7" t="s">
        <v>41</v>
      </c>
      <c r="F869" s="6">
        <v>1224.0</v>
      </c>
      <c r="G869" s="6">
        <v>51497.24</v>
      </c>
      <c r="H869" s="6">
        <v>42.07</v>
      </c>
      <c r="I869" s="8">
        <v>36.44766339869281</v>
      </c>
      <c r="J869" s="6">
        <v>44611.94</v>
      </c>
      <c r="K869" s="6">
        <v>6885.3</v>
      </c>
      <c r="L869" s="6">
        <v>13.37</v>
      </c>
      <c r="M869" s="6">
        <f t="shared" si="1"/>
        <v>5.625245098</v>
      </c>
      <c r="N869" s="6">
        <v>13.37</v>
      </c>
      <c r="O869" s="7" t="s">
        <v>45</v>
      </c>
      <c r="P869" s="7" t="s">
        <v>46</v>
      </c>
      <c r="Q869" s="7" t="s">
        <v>25</v>
      </c>
      <c r="R869" s="10">
        <v>11058.44</v>
      </c>
      <c r="S869" s="10">
        <v>-4173.14</v>
      </c>
      <c r="T869" s="9" t="s">
        <v>29</v>
      </c>
      <c r="U869" s="9"/>
      <c r="V869" s="9"/>
      <c r="W869" s="9"/>
      <c r="X869" s="9"/>
      <c r="Y869" s="9"/>
      <c r="Z869" s="9"/>
      <c r="AA869" s="9"/>
      <c r="AB869" s="9"/>
    </row>
    <row r="870">
      <c r="A870" s="5">
        <v>42506.0</v>
      </c>
      <c r="B870" s="6">
        <v>2016.0</v>
      </c>
      <c r="C870" s="7" t="s">
        <v>74</v>
      </c>
      <c r="D870" s="7" t="s">
        <v>54</v>
      </c>
      <c r="E870" s="7" t="s">
        <v>22</v>
      </c>
      <c r="F870" s="6">
        <v>1019.0</v>
      </c>
      <c r="G870" s="6">
        <v>42871.83</v>
      </c>
      <c r="H870" s="6">
        <v>42.07</v>
      </c>
      <c r="I870" s="8">
        <v>36.44682041216879</v>
      </c>
      <c r="J870" s="6">
        <v>37139.31</v>
      </c>
      <c r="K870" s="6">
        <v>5732.52</v>
      </c>
      <c r="L870" s="6">
        <v>13.37</v>
      </c>
      <c r="M870" s="6">
        <f t="shared" si="1"/>
        <v>5.625632974</v>
      </c>
      <c r="N870" s="6">
        <v>13.37</v>
      </c>
      <c r="O870" s="7" t="s">
        <v>45</v>
      </c>
      <c r="P870" s="7" t="s">
        <v>46</v>
      </c>
      <c r="Q870" s="7" t="s">
        <v>25</v>
      </c>
      <c r="R870" s="10">
        <v>6885.3</v>
      </c>
      <c r="S870" s="10">
        <v>-1152.77</v>
      </c>
      <c r="T870" s="9" t="s">
        <v>29</v>
      </c>
      <c r="U870" s="9"/>
      <c r="V870" s="9"/>
      <c r="W870" s="9"/>
      <c r="X870" s="9"/>
      <c r="Y870" s="9"/>
      <c r="Z870" s="9"/>
      <c r="AA870" s="9"/>
      <c r="AB870" s="9"/>
    </row>
    <row r="871">
      <c r="A871" s="5">
        <v>42507.0</v>
      </c>
      <c r="B871" s="6">
        <v>2016.0</v>
      </c>
      <c r="C871" s="7" t="s">
        <v>74</v>
      </c>
      <c r="D871" s="7" t="s">
        <v>55</v>
      </c>
      <c r="E871" s="7" t="s">
        <v>28</v>
      </c>
      <c r="F871" s="6">
        <v>930.0</v>
      </c>
      <c r="G871" s="6">
        <v>39104.64</v>
      </c>
      <c r="H871" s="6">
        <v>42.05</v>
      </c>
      <c r="I871" s="8">
        <v>36.44124731182796</v>
      </c>
      <c r="J871" s="6">
        <v>33890.36</v>
      </c>
      <c r="K871" s="6">
        <v>5214.28</v>
      </c>
      <c r="L871" s="6">
        <v>13.33</v>
      </c>
      <c r="M871" s="6">
        <f t="shared" si="1"/>
        <v>5.606752688</v>
      </c>
      <c r="N871" s="6">
        <v>13.33</v>
      </c>
      <c r="O871" s="7" t="s">
        <v>45</v>
      </c>
      <c r="P871" s="7" t="s">
        <v>46</v>
      </c>
      <c r="Q871" s="7" t="s">
        <v>25</v>
      </c>
      <c r="R871" s="10">
        <v>5732.52</v>
      </c>
      <c r="S871" s="10">
        <v>-518.25</v>
      </c>
      <c r="T871" s="9" t="s">
        <v>29</v>
      </c>
      <c r="U871" s="9"/>
      <c r="V871" s="9"/>
      <c r="W871" s="9"/>
      <c r="X871" s="9"/>
      <c r="Y871" s="9"/>
      <c r="Z871" s="9"/>
      <c r="AA871" s="9"/>
      <c r="AB871" s="9"/>
    </row>
    <row r="872">
      <c r="A872" s="5">
        <v>42508.0</v>
      </c>
      <c r="B872" s="6">
        <v>2016.0</v>
      </c>
      <c r="C872" s="7" t="s">
        <v>74</v>
      </c>
      <c r="D872" s="7" t="s">
        <v>56</v>
      </c>
      <c r="E872" s="7" t="s">
        <v>32</v>
      </c>
      <c r="F872" s="6">
        <v>818.0</v>
      </c>
      <c r="G872" s="6">
        <v>34406.75</v>
      </c>
      <c r="H872" s="6">
        <v>42.06</v>
      </c>
      <c r="I872" s="8">
        <v>36.533410757946214</v>
      </c>
      <c r="J872" s="6">
        <v>29884.33</v>
      </c>
      <c r="K872" s="6">
        <v>4522.42</v>
      </c>
      <c r="L872" s="6">
        <v>13.14</v>
      </c>
      <c r="M872" s="6">
        <f t="shared" si="1"/>
        <v>5.528630807</v>
      </c>
      <c r="N872" s="6">
        <v>13.14</v>
      </c>
      <c r="O872" s="7" t="s">
        <v>45</v>
      </c>
      <c r="P872" s="7" t="s">
        <v>46</v>
      </c>
      <c r="Q872" s="7" t="s">
        <v>25</v>
      </c>
      <c r="R872" s="10">
        <v>5214.28</v>
      </c>
      <c r="S872" s="10">
        <v>-691.86</v>
      </c>
      <c r="T872" s="9" t="s">
        <v>29</v>
      </c>
      <c r="U872" s="9"/>
      <c r="V872" s="9"/>
      <c r="W872" s="9"/>
      <c r="X872" s="9"/>
      <c r="Y872" s="9"/>
      <c r="Z872" s="9"/>
      <c r="AA872" s="9"/>
      <c r="AB872" s="9"/>
    </row>
    <row r="873">
      <c r="A873" s="5">
        <v>42509.0</v>
      </c>
      <c r="B873" s="6">
        <v>2016.0</v>
      </c>
      <c r="C873" s="7" t="s">
        <v>74</v>
      </c>
      <c r="D873" s="7" t="s">
        <v>57</v>
      </c>
      <c r="E873" s="7" t="s">
        <v>35</v>
      </c>
      <c r="F873" s="6">
        <v>937.0</v>
      </c>
      <c r="G873" s="6">
        <v>39403.66</v>
      </c>
      <c r="H873" s="6">
        <v>42.05</v>
      </c>
      <c r="I873" s="8">
        <v>36.5310885805763</v>
      </c>
      <c r="J873" s="6">
        <v>34229.63</v>
      </c>
      <c r="K873" s="6">
        <v>5174.03</v>
      </c>
      <c r="L873" s="6">
        <v>13.13</v>
      </c>
      <c r="M873" s="6">
        <f t="shared" si="1"/>
        <v>5.521910352</v>
      </c>
      <c r="N873" s="6">
        <v>13.13</v>
      </c>
      <c r="O873" s="7" t="s">
        <v>45</v>
      </c>
      <c r="P873" s="7" t="s">
        <v>46</v>
      </c>
      <c r="Q873" s="7" t="s">
        <v>25</v>
      </c>
      <c r="R873" s="10">
        <v>4522.42</v>
      </c>
      <c r="S873" s="10">
        <v>651.61</v>
      </c>
      <c r="T873" s="9" t="s">
        <v>33</v>
      </c>
      <c r="U873" s="9"/>
      <c r="V873" s="9"/>
      <c r="W873" s="9"/>
      <c r="X873" s="9"/>
      <c r="Y873" s="9"/>
      <c r="Z873" s="9"/>
      <c r="AA873" s="9"/>
      <c r="AB873" s="9"/>
    </row>
    <row r="874">
      <c r="A874" s="5">
        <v>42510.0</v>
      </c>
      <c r="B874" s="6">
        <v>2016.0</v>
      </c>
      <c r="C874" s="7" t="s">
        <v>74</v>
      </c>
      <c r="D874" s="7" t="s">
        <v>58</v>
      </c>
      <c r="E874" s="7" t="s">
        <v>37</v>
      </c>
      <c r="F874" s="6">
        <v>2302.0</v>
      </c>
      <c r="G874" s="6">
        <v>96830.9</v>
      </c>
      <c r="H874" s="6">
        <v>42.06</v>
      </c>
      <c r="I874" s="8">
        <v>36.45786272806255</v>
      </c>
      <c r="J874" s="6">
        <v>83926.0</v>
      </c>
      <c r="K874" s="6">
        <v>12904.9</v>
      </c>
      <c r="L874" s="6">
        <v>13.33</v>
      </c>
      <c r="M874" s="6">
        <f t="shared" si="1"/>
        <v>5.605951347</v>
      </c>
      <c r="N874" s="6">
        <v>13.33</v>
      </c>
      <c r="O874" s="7" t="s">
        <v>45</v>
      </c>
      <c r="P874" s="7" t="s">
        <v>46</v>
      </c>
      <c r="Q874" s="7" t="s">
        <v>25</v>
      </c>
      <c r="R874" s="10">
        <v>5174.03</v>
      </c>
      <c r="S874" s="10">
        <v>7730.87</v>
      </c>
      <c r="T874" s="9" t="s">
        <v>33</v>
      </c>
      <c r="U874" s="9"/>
      <c r="V874" s="9"/>
      <c r="W874" s="9"/>
      <c r="X874" s="9"/>
      <c r="Y874" s="9"/>
      <c r="Z874" s="9"/>
      <c r="AA874" s="9"/>
      <c r="AB874" s="9"/>
    </row>
    <row r="875">
      <c r="A875" s="5">
        <v>42511.0</v>
      </c>
      <c r="B875" s="6">
        <v>2016.0</v>
      </c>
      <c r="C875" s="7" t="s">
        <v>74</v>
      </c>
      <c r="D875" s="7" t="s">
        <v>59</v>
      </c>
      <c r="E875" s="7" t="s">
        <v>39</v>
      </c>
      <c r="F875" s="6">
        <v>2363.0</v>
      </c>
      <c r="G875" s="6">
        <v>99380.39</v>
      </c>
      <c r="H875" s="6">
        <v>42.06</v>
      </c>
      <c r="I875" s="8">
        <v>36.470380871773166</v>
      </c>
      <c r="J875" s="6">
        <v>86179.51</v>
      </c>
      <c r="K875" s="6">
        <v>13200.88</v>
      </c>
      <c r="L875" s="6">
        <v>13.28</v>
      </c>
      <c r="M875" s="6">
        <f t="shared" si="1"/>
        <v>5.586491748</v>
      </c>
      <c r="N875" s="6">
        <v>13.28</v>
      </c>
      <c r="O875" s="7" t="s">
        <v>45</v>
      </c>
      <c r="P875" s="7" t="s">
        <v>46</v>
      </c>
      <c r="Q875" s="7" t="s">
        <v>25</v>
      </c>
      <c r="R875" s="10">
        <v>12904.9</v>
      </c>
      <c r="S875" s="10">
        <v>295.98</v>
      </c>
      <c r="T875" s="9" t="s">
        <v>33</v>
      </c>
      <c r="U875" s="9"/>
      <c r="V875" s="9"/>
      <c r="W875" s="9"/>
      <c r="X875" s="9"/>
      <c r="Y875" s="9"/>
      <c r="Z875" s="9"/>
      <c r="AA875" s="9"/>
      <c r="AB875" s="9"/>
    </row>
    <row r="876">
      <c r="A876" s="5">
        <v>42512.0</v>
      </c>
      <c r="B876" s="6">
        <v>2016.0</v>
      </c>
      <c r="C876" s="7" t="s">
        <v>74</v>
      </c>
      <c r="D876" s="7" t="s">
        <v>60</v>
      </c>
      <c r="E876" s="7" t="s">
        <v>41</v>
      </c>
      <c r="F876" s="6">
        <v>1466.0</v>
      </c>
      <c r="G876" s="6">
        <v>61656.18</v>
      </c>
      <c r="H876" s="6">
        <v>42.06</v>
      </c>
      <c r="I876" s="8">
        <v>36.46912005457026</v>
      </c>
      <c r="J876" s="6">
        <v>53463.73</v>
      </c>
      <c r="K876" s="6">
        <v>8192.45</v>
      </c>
      <c r="L876" s="6">
        <v>13.29</v>
      </c>
      <c r="M876" s="6">
        <f t="shared" si="1"/>
        <v>5.588301501</v>
      </c>
      <c r="N876" s="6">
        <v>13.29</v>
      </c>
      <c r="O876" s="7" t="s">
        <v>45</v>
      </c>
      <c r="P876" s="7" t="s">
        <v>46</v>
      </c>
      <c r="Q876" s="7" t="s">
        <v>25</v>
      </c>
      <c r="R876" s="10">
        <v>13200.88</v>
      </c>
      <c r="S876" s="10">
        <v>-5008.43</v>
      </c>
      <c r="T876" s="9" t="s">
        <v>29</v>
      </c>
      <c r="U876" s="9"/>
      <c r="V876" s="9"/>
      <c r="W876" s="9"/>
      <c r="X876" s="9"/>
      <c r="Y876" s="9"/>
      <c r="Z876" s="9"/>
      <c r="AA876" s="9"/>
      <c r="AB876" s="9"/>
    </row>
    <row r="877">
      <c r="A877" s="5">
        <v>42513.0</v>
      </c>
      <c r="B877" s="6">
        <v>2016.0</v>
      </c>
      <c r="C877" s="7" t="s">
        <v>74</v>
      </c>
      <c r="D877" s="7" t="s">
        <v>61</v>
      </c>
      <c r="E877" s="7" t="s">
        <v>22</v>
      </c>
      <c r="F877" s="6">
        <v>1644.0</v>
      </c>
      <c r="G877" s="6">
        <v>69163.56</v>
      </c>
      <c r="H877" s="6">
        <v>42.07</v>
      </c>
      <c r="I877" s="8">
        <v>36.46498783454988</v>
      </c>
      <c r="J877" s="6">
        <v>59948.44</v>
      </c>
      <c r="K877" s="6">
        <v>9215.12</v>
      </c>
      <c r="L877" s="6">
        <v>13.32</v>
      </c>
      <c r="M877" s="6">
        <f t="shared" si="1"/>
        <v>5.605304136</v>
      </c>
      <c r="N877" s="6">
        <v>13.32</v>
      </c>
      <c r="O877" s="7" t="s">
        <v>45</v>
      </c>
      <c r="P877" s="7" t="s">
        <v>46</v>
      </c>
      <c r="Q877" s="7" t="s">
        <v>25</v>
      </c>
      <c r="R877" s="10">
        <v>8192.45</v>
      </c>
      <c r="S877" s="10">
        <v>1022.67</v>
      </c>
      <c r="T877" s="9" t="s">
        <v>33</v>
      </c>
      <c r="U877" s="9"/>
      <c r="V877" s="9"/>
      <c r="W877" s="9"/>
      <c r="X877" s="9"/>
      <c r="Y877" s="9"/>
      <c r="Z877" s="9"/>
      <c r="AA877" s="9"/>
      <c r="AB877" s="9"/>
    </row>
    <row r="878">
      <c r="A878" s="5">
        <v>42514.0</v>
      </c>
      <c r="B878" s="6">
        <v>2016.0</v>
      </c>
      <c r="C878" s="7" t="s">
        <v>74</v>
      </c>
      <c r="D878" s="7" t="s">
        <v>62</v>
      </c>
      <c r="E878" s="7" t="s">
        <v>28</v>
      </c>
      <c r="F878" s="6">
        <v>3224.0</v>
      </c>
      <c r="G878" s="6">
        <v>113112.87</v>
      </c>
      <c r="H878" s="6">
        <v>35.08</v>
      </c>
      <c r="I878" s="8">
        <v>36.41895161290322</v>
      </c>
      <c r="J878" s="6">
        <v>117414.7</v>
      </c>
      <c r="K878" s="6">
        <v>-4301.83</v>
      </c>
      <c r="L878" s="6">
        <v>-3.8</v>
      </c>
      <c r="M878" s="6">
        <f t="shared" si="1"/>
        <v>-1.334314516</v>
      </c>
      <c r="N878" s="6">
        <v>-3.8</v>
      </c>
      <c r="O878" s="7" t="s">
        <v>45</v>
      </c>
      <c r="P878" s="7" t="s">
        <v>46</v>
      </c>
      <c r="Q878" s="7" t="s">
        <v>25</v>
      </c>
      <c r="R878" s="10">
        <v>9215.12</v>
      </c>
      <c r="S878" s="10">
        <v>-13516.95</v>
      </c>
      <c r="T878" s="9" t="s">
        <v>29</v>
      </c>
      <c r="U878" s="9"/>
      <c r="V878" s="9"/>
      <c r="W878" s="9"/>
      <c r="X878" s="9"/>
      <c r="Y878" s="9"/>
      <c r="Z878" s="9"/>
      <c r="AA878" s="9"/>
      <c r="AB878" s="9"/>
    </row>
    <row r="879">
      <c r="A879" s="5">
        <v>42515.0</v>
      </c>
      <c r="B879" s="6">
        <v>2016.0</v>
      </c>
      <c r="C879" s="7" t="s">
        <v>74</v>
      </c>
      <c r="D879" s="7" t="s">
        <v>63</v>
      </c>
      <c r="E879" s="7" t="s">
        <v>32</v>
      </c>
      <c r="F879" s="6">
        <v>7392.0</v>
      </c>
      <c r="G879" s="6">
        <v>253686.3</v>
      </c>
      <c r="H879" s="6">
        <v>34.32</v>
      </c>
      <c r="I879" s="8">
        <v>36.38725243506494</v>
      </c>
      <c r="J879" s="6">
        <v>268974.57</v>
      </c>
      <c r="K879" s="6">
        <v>-15288.27</v>
      </c>
      <c r="L879" s="6">
        <v>-6.03</v>
      </c>
      <c r="M879" s="6">
        <f t="shared" si="1"/>
        <v>-2.068218344</v>
      </c>
      <c r="N879" s="6">
        <v>-6.03</v>
      </c>
      <c r="O879" s="7" t="s">
        <v>45</v>
      </c>
      <c r="P879" s="7" t="s">
        <v>46</v>
      </c>
      <c r="Q879" s="7" t="s">
        <v>25</v>
      </c>
      <c r="R879" s="10">
        <v>-4301.83</v>
      </c>
      <c r="S879" s="10">
        <v>-10986.43</v>
      </c>
      <c r="T879" s="9" t="s">
        <v>29</v>
      </c>
      <c r="U879" s="9"/>
      <c r="V879" s="9"/>
      <c r="W879" s="9"/>
      <c r="X879" s="9"/>
      <c r="Y879" s="9"/>
      <c r="Z879" s="9"/>
      <c r="AA879" s="9"/>
      <c r="AB879" s="9"/>
    </row>
    <row r="880">
      <c r="A880" s="5">
        <v>42516.0</v>
      </c>
      <c r="B880" s="6">
        <v>2016.0</v>
      </c>
      <c r="C880" s="7" t="s">
        <v>74</v>
      </c>
      <c r="D880" s="7" t="s">
        <v>64</v>
      </c>
      <c r="E880" s="7" t="s">
        <v>35</v>
      </c>
      <c r="F880" s="6">
        <v>6138.0</v>
      </c>
      <c r="G880" s="6">
        <v>210305.29</v>
      </c>
      <c r="H880" s="6">
        <v>34.26</v>
      </c>
      <c r="I880" s="8">
        <v>36.37814923427826</v>
      </c>
      <c r="J880" s="6">
        <v>223289.08</v>
      </c>
      <c r="K880" s="6">
        <v>-12983.79</v>
      </c>
      <c r="L880" s="6">
        <v>-6.17</v>
      </c>
      <c r="M880" s="6">
        <f t="shared" si="1"/>
        <v>-2.115312805</v>
      </c>
      <c r="N880" s="6">
        <v>-6.17</v>
      </c>
      <c r="O880" s="7" t="s">
        <v>45</v>
      </c>
      <c r="P880" s="7" t="s">
        <v>46</v>
      </c>
      <c r="Q880" s="7" t="s">
        <v>25</v>
      </c>
      <c r="R880" s="10">
        <v>-15288.27</v>
      </c>
      <c r="S880" s="10">
        <v>2304.48</v>
      </c>
      <c r="T880" s="9" t="s">
        <v>33</v>
      </c>
      <c r="U880" s="9"/>
      <c r="V880" s="9"/>
      <c r="W880" s="9"/>
      <c r="X880" s="9"/>
      <c r="Y880" s="9"/>
      <c r="Z880" s="9"/>
      <c r="AA880" s="9"/>
      <c r="AB880" s="9"/>
    </row>
    <row r="881">
      <c r="A881" s="5">
        <v>42517.0</v>
      </c>
      <c r="B881" s="6">
        <v>2016.0</v>
      </c>
      <c r="C881" s="7" t="s">
        <v>74</v>
      </c>
      <c r="D881" s="7" t="s">
        <v>65</v>
      </c>
      <c r="E881" s="7" t="s">
        <v>37</v>
      </c>
      <c r="F881" s="6">
        <v>10624.0</v>
      </c>
      <c r="G881" s="6">
        <v>364087.42</v>
      </c>
      <c r="H881" s="6">
        <v>34.27</v>
      </c>
      <c r="I881" s="8">
        <v>36.37988516566265</v>
      </c>
      <c r="J881" s="6">
        <v>386499.9</v>
      </c>
      <c r="K881" s="6">
        <v>-22412.47</v>
      </c>
      <c r="L881" s="6">
        <v>-6.16</v>
      </c>
      <c r="M881" s="6">
        <f t="shared" si="1"/>
        <v>-2.109607492</v>
      </c>
      <c r="N881" s="6">
        <v>-6.16</v>
      </c>
      <c r="O881" s="7" t="s">
        <v>45</v>
      </c>
      <c r="P881" s="7" t="s">
        <v>46</v>
      </c>
      <c r="Q881" s="7" t="s">
        <v>25</v>
      </c>
      <c r="R881" s="10">
        <v>-12983.79</v>
      </c>
      <c r="S881" s="10">
        <v>-9428.68</v>
      </c>
      <c r="T881" s="9" t="s">
        <v>29</v>
      </c>
      <c r="U881" s="9"/>
      <c r="V881" s="9"/>
      <c r="W881" s="9"/>
      <c r="X881" s="9"/>
      <c r="Y881" s="9"/>
      <c r="Z881" s="9"/>
      <c r="AA881" s="9"/>
      <c r="AB881" s="9"/>
    </row>
    <row r="882">
      <c r="A882" s="5">
        <v>42518.0</v>
      </c>
      <c r="B882" s="6">
        <v>2016.0</v>
      </c>
      <c r="C882" s="7" t="s">
        <v>74</v>
      </c>
      <c r="D882" s="7" t="s">
        <v>66</v>
      </c>
      <c r="E882" s="7" t="s">
        <v>39</v>
      </c>
      <c r="F882" s="6">
        <v>11590.0</v>
      </c>
      <c r="G882" s="6">
        <v>397480.37</v>
      </c>
      <c r="H882" s="6">
        <v>34.3</v>
      </c>
      <c r="I882" s="8">
        <v>36.38257981018119</v>
      </c>
      <c r="J882" s="6">
        <v>421674.1</v>
      </c>
      <c r="K882" s="6">
        <v>-24193.73</v>
      </c>
      <c r="L882" s="6">
        <v>-6.09</v>
      </c>
      <c r="M882" s="6">
        <f t="shared" si="1"/>
        <v>-2.087465919</v>
      </c>
      <c r="N882" s="6">
        <v>-6.09</v>
      </c>
      <c r="O882" s="7" t="s">
        <v>45</v>
      </c>
      <c r="P882" s="7" t="s">
        <v>46</v>
      </c>
      <c r="Q882" s="7" t="s">
        <v>25</v>
      </c>
      <c r="R882" s="10">
        <v>-22412.47</v>
      </c>
      <c r="S882" s="10">
        <v>-1781.26</v>
      </c>
      <c r="T882" s="9" t="s">
        <v>29</v>
      </c>
      <c r="U882" s="9"/>
      <c r="V882" s="9"/>
      <c r="W882" s="9"/>
      <c r="X882" s="9"/>
      <c r="Y882" s="9"/>
      <c r="Z882" s="9"/>
      <c r="AA882" s="9"/>
      <c r="AB882" s="9"/>
    </row>
    <row r="883">
      <c r="A883" s="5">
        <v>42519.0</v>
      </c>
      <c r="B883" s="6">
        <v>2016.0</v>
      </c>
      <c r="C883" s="7" t="s">
        <v>74</v>
      </c>
      <c r="D883" s="7" t="s">
        <v>67</v>
      </c>
      <c r="E883" s="7" t="s">
        <v>41</v>
      </c>
      <c r="F883" s="6">
        <v>5959.0</v>
      </c>
      <c r="G883" s="6">
        <v>204028.18</v>
      </c>
      <c r="H883" s="6">
        <v>34.24</v>
      </c>
      <c r="I883" s="8">
        <v>36.378137271354255</v>
      </c>
      <c r="J883" s="6">
        <v>216777.32</v>
      </c>
      <c r="K883" s="6">
        <v>-12749.14</v>
      </c>
      <c r="L883" s="6">
        <v>-6.25</v>
      </c>
      <c r="M883" s="6">
        <f t="shared" si="1"/>
        <v>-2.139476422</v>
      </c>
      <c r="N883" s="6">
        <v>-6.25</v>
      </c>
      <c r="O883" s="7" t="s">
        <v>45</v>
      </c>
      <c r="P883" s="7" t="s">
        <v>46</v>
      </c>
      <c r="Q883" s="7" t="s">
        <v>25</v>
      </c>
      <c r="R883" s="10">
        <v>-24193.73</v>
      </c>
      <c r="S883" s="10">
        <v>11444.59</v>
      </c>
      <c r="T883" s="9" t="s">
        <v>33</v>
      </c>
      <c r="U883" s="9"/>
      <c r="V883" s="9"/>
      <c r="W883" s="9"/>
      <c r="X883" s="9"/>
      <c r="Y883" s="9"/>
      <c r="Z883" s="9"/>
      <c r="AA883" s="9"/>
      <c r="AB883" s="9"/>
    </row>
    <row r="884">
      <c r="A884" s="5">
        <v>42520.0</v>
      </c>
      <c r="B884" s="6">
        <v>2016.0</v>
      </c>
      <c r="C884" s="7" t="s">
        <v>74</v>
      </c>
      <c r="D884" s="7" t="s">
        <v>21</v>
      </c>
      <c r="E884" s="7" t="s">
        <v>22</v>
      </c>
      <c r="F884" s="6">
        <v>5048.0</v>
      </c>
      <c r="G884" s="6">
        <v>172797.94</v>
      </c>
      <c r="H884" s="6">
        <v>34.23</v>
      </c>
      <c r="I884" s="8">
        <v>36.393781695721074</v>
      </c>
      <c r="J884" s="6">
        <v>183715.81</v>
      </c>
      <c r="K884" s="6">
        <v>-10917.87</v>
      </c>
      <c r="L884" s="6">
        <v>-6.32</v>
      </c>
      <c r="M884" s="6">
        <f t="shared" si="1"/>
        <v>-2.162811014</v>
      </c>
      <c r="N884" s="6">
        <v>-6.32</v>
      </c>
      <c r="O884" s="7" t="s">
        <v>45</v>
      </c>
      <c r="P884" s="7" t="s">
        <v>46</v>
      </c>
      <c r="Q884" s="7" t="s">
        <v>25</v>
      </c>
      <c r="R884" s="10">
        <v>-12749.14</v>
      </c>
      <c r="S884" s="10">
        <v>1831.27</v>
      </c>
      <c r="T884" s="9" t="s">
        <v>33</v>
      </c>
      <c r="U884" s="9"/>
      <c r="V884" s="9"/>
      <c r="W884" s="9"/>
      <c r="X884" s="9"/>
      <c r="Y884" s="9"/>
      <c r="Z884" s="9"/>
      <c r="AA884" s="9"/>
      <c r="AB884" s="9"/>
    </row>
    <row r="885">
      <c r="A885" s="5">
        <v>42521.0</v>
      </c>
      <c r="B885" s="6">
        <v>2016.0</v>
      </c>
      <c r="C885" s="7" t="s">
        <v>74</v>
      </c>
      <c r="D885" s="7" t="s">
        <v>27</v>
      </c>
      <c r="E885" s="7" t="s">
        <v>28</v>
      </c>
      <c r="F885" s="6">
        <v>7542.0</v>
      </c>
      <c r="G885" s="6">
        <v>258970.65</v>
      </c>
      <c r="H885" s="6">
        <v>34.34</v>
      </c>
      <c r="I885" s="8">
        <v>36.38106868204721</v>
      </c>
      <c r="J885" s="6">
        <v>274386.02</v>
      </c>
      <c r="K885" s="6">
        <v>-15415.36</v>
      </c>
      <c r="L885" s="6">
        <v>-5.95</v>
      </c>
      <c r="M885" s="6">
        <f t="shared" si="1"/>
        <v>-2.043935296</v>
      </c>
      <c r="N885" s="6">
        <v>-5.95</v>
      </c>
      <c r="O885" s="7" t="s">
        <v>45</v>
      </c>
      <c r="P885" s="7" t="s">
        <v>46</v>
      </c>
      <c r="Q885" s="7" t="s">
        <v>25</v>
      </c>
      <c r="R885" s="10">
        <v>-10917.87</v>
      </c>
      <c r="S885" s="10">
        <v>-4497.49</v>
      </c>
      <c r="T885" s="9" t="s">
        <v>29</v>
      </c>
      <c r="U885" s="9"/>
      <c r="V885" s="9"/>
      <c r="W885" s="9"/>
      <c r="X885" s="9"/>
      <c r="Y885" s="9"/>
      <c r="Z885" s="9"/>
      <c r="AA885" s="9"/>
      <c r="AB885" s="9"/>
    </row>
    <row r="886">
      <c r="A886" s="5">
        <v>42522.0</v>
      </c>
      <c r="B886" s="6">
        <v>2016.0</v>
      </c>
      <c r="C886" s="7" t="s">
        <v>75</v>
      </c>
      <c r="D886" s="7" t="s">
        <v>31</v>
      </c>
      <c r="E886" s="7" t="s">
        <v>32</v>
      </c>
      <c r="F886" s="6">
        <v>10761.0</v>
      </c>
      <c r="G886" s="6">
        <v>368789.57</v>
      </c>
      <c r="H886" s="6">
        <v>34.27</v>
      </c>
      <c r="I886" s="8">
        <v>36.42074714245888</v>
      </c>
      <c r="J886" s="6">
        <v>391923.66</v>
      </c>
      <c r="K886" s="6">
        <v>-23134.09</v>
      </c>
      <c r="L886" s="6">
        <v>-6.27</v>
      </c>
      <c r="M886" s="6">
        <f t="shared" si="1"/>
        <v>-2.149808568</v>
      </c>
      <c r="N886" s="6">
        <v>-6.27</v>
      </c>
      <c r="O886" s="7" t="s">
        <v>45</v>
      </c>
      <c r="P886" s="7" t="s">
        <v>46</v>
      </c>
      <c r="Q886" s="7" t="s">
        <v>25</v>
      </c>
      <c r="R886" s="10">
        <v>-15415.36</v>
      </c>
      <c r="S886" s="10">
        <v>-7718.73</v>
      </c>
      <c r="T886" s="9" t="s">
        <v>29</v>
      </c>
      <c r="U886" s="9"/>
      <c r="V886" s="9"/>
      <c r="W886" s="9"/>
      <c r="X886" s="9"/>
      <c r="Y886" s="9"/>
      <c r="Z886" s="9"/>
      <c r="AA886" s="9"/>
      <c r="AB886" s="9"/>
    </row>
    <row r="887">
      <c r="A887" s="5">
        <v>42523.0</v>
      </c>
      <c r="B887" s="6">
        <v>2016.0</v>
      </c>
      <c r="C887" s="7" t="s">
        <v>75</v>
      </c>
      <c r="D887" s="7" t="s">
        <v>34</v>
      </c>
      <c r="E887" s="7" t="s">
        <v>35</v>
      </c>
      <c r="F887" s="6">
        <v>8120.0</v>
      </c>
      <c r="G887" s="6">
        <v>278071.39</v>
      </c>
      <c r="H887" s="6">
        <v>34.25</v>
      </c>
      <c r="I887" s="8">
        <v>36.39756650246305</v>
      </c>
      <c r="J887" s="6">
        <v>295548.24</v>
      </c>
      <c r="K887" s="6">
        <v>-17476.86</v>
      </c>
      <c r="L887" s="6">
        <v>-6.29</v>
      </c>
      <c r="M887" s="6">
        <f t="shared" si="1"/>
        <v>-2.15232266</v>
      </c>
      <c r="N887" s="6">
        <v>-6.29</v>
      </c>
      <c r="O887" s="7" t="s">
        <v>45</v>
      </c>
      <c r="P887" s="7" t="s">
        <v>46</v>
      </c>
      <c r="Q887" s="7" t="s">
        <v>25</v>
      </c>
      <c r="R887" s="10">
        <v>-23134.09</v>
      </c>
      <c r="S887" s="10">
        <v>5657.23</v>
      </c>
      <c r="T887" s="9" t="s">
        <v>33</v>
      </c>
      <c r="U887" s="9"/>
      <c r="V887" s="9"/>
      <c r="W887" s="9"/>
      <c r="X887" s="9"/>
      <c r="Y887" s="9"/>
      <c r="Z887" s="9"/>
      <c r="AA887" s="9"/>
      <c r="AB887" s="9"/>
    </row>
    <row r="888">
      <c r="A888" s="5">
        <v>42524.0</v>
      </c>
      <c r="B888" s="6">
        <v>2016.0</v>
      </c>
      <c r="C888" s="7" t="s">
        <v>75</v>
      </c>
      <c r="D888" s="7" t="s">
        <v>36</v>
      </c>
      <c r="E888" s="7" t="s">
        <v>37</v>
      </c>
      <c r="F888" s="6">
        <v>10896.0</v>
      </c>
      <c r="G888" s="6">
        <v>373959.36</v>
      </c>
      <c r="H888" s="6">
        <v>34.32</v>
      </c>
      <c r="I888" s="8">
        <v>36.373364537444935</v>
      </c>
      <c r="J888" s="6">
        <v>396324.18</v>
      </c>
      <c r="K888" s="6">
        <v>-22364.82</v>
      </c>
      <c r="L888" s="6">
        <v>-5.98</v>
      </c>
      <c r="M888" s="6">
        <f t="shared" si="1"/>
        <v>-2.052571586</v>
      </c>
      <c r="N888" s="6">
        <v>-5.98</v>
      </c>
      <c r="O888" s="7" t="s">
        <v>45</v>
      </c>
      <c r="P888" s="7" t="s">
        <v>46</v>
      </c>
      <c r="Q888" s="7" t="s">
        <v>25</v>
      </c>
      <c r="R888" s="10">
        <v>-17476.86</v>
      </c>
      <c r="S888" s="10">
        <v>-4887.96</v>
      </c>
      <c r="T888" s="9" t="s">
        <v>29</v>
      </c>
      <c r="U888" s="9"/>
      <c r="V888" s="9"/>
      <c r="W888" s="9"/>
      <c r="X888" s="9"/>
      <c r="Y888" s="9"/>
      <c r="Z888" s="9"/>
      <c r="AA888" s="9"/>
      <c r="AB888" s="9"/>
    </row>
    <row r="889">
      <c r="A889" s="5">
        <v>42525.0</v>
      </c>
      <c r="B889" s="6">
        <v>2016.0</v>
      </c>
      <c r="C889" s="7" t="s">
        <v>75</v>
      </c>
      <c r="D889" s="7" t="s">
        <v>38</v>
      </c>
      <c r="E889" s="7" t="s">
        <v>39</v>
      </c>
      <c r="F889" s="6">
        <v>11726.0</v>
      </c>
      <c r="G889" s="6">
        <v>402057.25</v>
      </c>
      <c r="H889" s="6">
        <v>34.29</v>
      </c>
      <c r="I889" s="8">
        <v>36.369275967934506</v>
      </c>
      <c r="J889" s="6">
        <v>426466.13</v>
      </c>
      <c r="K889" s="6">
        <v>-24408.88</v>
      </c>
      <c r="L889" s="6">
        <v>-6.07</v>
      </c>
      <c r="M889" s="6">
        <f t="shared" si="1"/>
        <v>-2.081603275</v>
      </c>
      <c r="N889" s="6">
        <v>-6.07</v>
      </c>
      <c r="O889" s="7" t="s">
        <v>45</v>
      </c>
      <c r="P889" s="7" t="s">
        <v>46</v>
      </c>
      <c r="Q889" s="7" t="s">
        <v>25</v>
      </c>
      <c r="R889" s="10">
        <v>-22364.82</v>
      </c>
      <c r="S889" s="10">
        <v>-2044.06</v>
      </c>
      <c r="T889" s="9" t="s">
        <v>29</v>
      </c>
      <c r="U889" s="9"/>
      <c r="V889" s="9"/>
      <c r="W889" s="9"/>
      <c r="X889" s="9"/>
      <c r="Y889" s="9"/>
      <c r="Z889" s="9"/>
      <c r="AA889" s="9"/>
      <c r="AB889" s="9"/>
    </row>
    <row r="890">
      <c r="A890" s="5">
        <v>42526.0</v>
      </c>
      <c r="B890" s="6">
        <v>2016.0</v>
      </c>
      <c r="C890" s="7" t="s">
        <v>75</v>
      </c>
      <c r="D890" s="7" t="s">
        <v>40</v>
      </c>
      <c r="E890" s="7" t="s">
        <v>41</v>
      </c>
      <c r="F890" s="6">
        <v>6007.0</v>
      </c>
      <c r="G890" s="6">
        <v>205719.45</v>
      </c>
      <c r="H890" s="6">
        <v>34.25</v>
      </c>
      <c r="I890" s="8">
        <v>36.358944564674545</v>
      </c>
      <c r="J890" s="6">
        <v>218408.18</v>
      </c>
      <c r="K890" s="6">
        <v>-12688.73</v>
      </c>
      <c r="L890" s="6">
        <v>-6.17</v>
      </c>
      <c r="M890" s="6">
        <f t="shared" si="1"/>
        <v>-2.112323955</v>
      </c>
      <c r="N890" s="6">
        <v>-6.17</v>
      </c>
      <c r="O890" s="7" t="s">
        <v>45</v>
      </c>
      <c r="P890" s="7" t="s">
        <v>46</v>
      </c>
      <c r="Q890" s="7" t="s">
        <v>25</v>
      </c>
      <c r="R890" s="10">
        <v>-24408.88</v>
      </c>
      <c r="S890" s="10">
        <v>11720.15</v>
      </c>
      <c r="T890" s="9" t="s">
        <v>33</v>
      </c>
      <c r="U890" s="9"/>
      <c r="V890" s="9"/>
      <c r="W890" s="9"/>
      <c r="X890" s="9"/>
      <c r="Y890" s="9"/>
      <c r="Z890" s="9"/>
      <c r="AA890" s="9"/>
      <c r="AB890" s="9"/>
    </row>
    <row r="891">
      <c r="A891" s="5">
        <v>42527.0</v>
      </c>
      <c r="B891" s="6">
        <v>2016.0</v>
      </c>
      <c r="C891" s="7" t="s">
        <v>75</v>
      </c>
      <c r="D891" s="7" t="s">
        <v>42</v>
      </c>
      <c r="E891" s="7" t="s">
        <v>22</v>
      </c>
      <c r="F891" s="6">
        <v>5185.0</v>
      </c>
      <c r="G891" s="6">
        <v>177626.95</v>
      </c>
      <c r="H891" s="6">
        <v>34.26</v>
      </c>
      <c r="I891" s="8">
        <v>36.379893924783026</v>
      </c>
      <c r="J891" s="6">
        <v>188629.75</v>
      </c>
      <c r="K891" s="6">
        <v>-11002.8</v>
      </c>
      <c r="L891" s="6">
        <v>-6.19</v>
      </c>
      <c r="M891" s="6">
        <f t="shared" si="1"/>
        <v>-2.122044359</v>
      </c>
      <c r="N891" s="6">
        <v>-6.19</v>
      </c>
      <c r="O891" s="7" t="s">
        <v>45</v>
      </c>
      <c r="P891" s="7" t="s">
        <v>46</v>
      </c>
      <c r="Q891" s="7" t="s">
        <v>25</v>
      </c>
      <c r="R891" s="10">
        <v>-12688.73</v>
      </c>
      <c r="S891" s="10">
        <v>1685.92</v>
      </c>
      <c r="T891" s="9" t="s">
        <v>33</v>
      </c>
      <c r="U891" s="9"/>
      <c r="V891" s="9"/>
      <c r="W891" s="9"/>
      <c r="X891" s="9"/>
      <c r="Y891" s="9"/>
      <c r="Z891" s="9"/>
      <c r="AA891" s="9"/>
      <c r="AB891" s="9"/>
    </row>
    <row r="892">
      <c r="A892" s="5">
        <v>42528.0</v>
      </c>
      <c r="B892" s="6">
        <v>2016.0</v>
      </c>
      <c r="C892" s="7" t="s">
        <v>75</v>
      </c>
      <c r="D892" s="7" t="s">
        <v>43</v>
      </c>
      <c r="E892" s="7" t="s">
        <v>28</v>
      </c>
      <c r="F892" s="6">
        <v>1675.0</v>
      </c>
      <c r="G892" s="6">
        <v>70441.91</v>
      </c>
      <c r="H892" s="6">
        <v>42.05</v>
      </c>
      <c r="I892" s="8">
        <v>36.36462686567164</v>
      </c>
      <c r="J892" s="6">
        <v>60910.75</v>
      </c>
      <c r="K892" s="6">
        <v>9531.16</v>
      </c>
      <c r="L892" s="6">
        <v>13.53</v>
      </c>
      <c r="M892" s="6">
        <f t="shared" si="1"/>
        <v>5.690244776</v>
      </c>
      <c r="N892" s="6">
        <v>13.53</v>
      </c>
      <c r="O892" s="7" t="s">
        <v>45</v>
      </c>
      <c r="P892" s="7" t="s">
        <v>46</v>
      </c>
      <c r="Q892" s="7" t="s">
        <v>25</v>
      </c>
      <c r="R892" s="10">
        <v>-11002.8</v>
      </c>
      <c r="S892" s="10">
        <v>20533.96</v>
      </c>
      <c r="T892" s="9" t="s">
        <v>33</v>
      </c>
      <c r="U892" s="9"/>
      <c r="V892" s="9"/>
      <c r="W892" s="9"/>
      <c r="X892" s="9"/>
      <c r="Y892" s="9"/>
      <c r="Z892" s="9"/>
      <c r="AA892" s="9"/>
      <c r="AB892" s="9"/>
    </row>
    <row r="893">
      <c r="A893" s="5">
        <v>42529.0</v>
      </c>
      <c r="B893" s="6">
        <v>2016.0</v>
      </c>
      <c r="C893" s="7" t="s">
        <v>75</v>
      </c>
      <c r="D893" s="7" t="s">
        <v>44</v>
      </c>
      <c r="E893" s="7" t="s">
        <v>32</v>
      </c>
      <c r="F893" s="6">
        <v>4765.0</v>
      </c>
      <c r="G893" s="6">
        <v>162923.85</v>
      </c>
      <c r="H893" s="6">
        <v>34.19</v>
      </c>
      <c r="I893" s="8">
        <v>36.36782371458552</v>
      </c>
      <c r="J893" s="6">
        <v>173292.68</v>
      </c>
      <c r="K893" s="6">
        <v>-10368.83</v>
      </c>
      <c r="L893" s="6">
        <v>-6.36</v>
      </c>
      <c r="M893" s="6">
        <f t="shared" si="1"/>
        <v>-2.176039874</v>
      </c>
      <c r="N893" s="6">
        <v>-6.36</v>
      </c>
      <c r="O893" s="7" t="s">
        <v>45</v>
      </c>
      <c r="P893" s="7" t="s">
        <v>46</v>
      </c>
      <c r="Q893" s="7" t="s">
        <v>25</v>
      </c>
      <c r="R893" s="10">
        <v>9531.16</v>
      </c>
      <c r="S893" s="10">
        <v>-19899.99</v>
      </c>
      <c r="T893" s="9" t="s">
        <v>29</v>
      </c>
      <c r="U893" s="9"/>
      <c r="V893" s="9"/>
      <c r="W893" s="9"/>
      <c r="X893" s="9"/>
      <c r="Y893" s="9"/>
      <c r="Z893" s="9"/>
      <c r="AA893" s="9"/>
      <c r="AB893" s="9"/>
    </row>
    <row r="894">
      <c r="A894" s="5">
        <v>42530.0</v>
      </c>
      <c r="B894" s="6">
        <v>2016.0</v>
      </c>
      <c r="C894" s="7" t="s">
        <v>75</v>
      </c>
      <c r="D894" s="7" t="s">
        <v>47</v>
      </c>
      <c r="E894" s="7" t="s">
        <v>35</v>
      </c>
      <c r="F894" s="6">
        <v>3953.0</v>
      </c>
      <c r="G894" s="6">
        <v>138752.53</v>
      </c>
      <c r="H894" s="6">
        <v>35.1</v>
      </c>
      <c r="I894" s="8">
        <v>36.37527953453074</v>
      </c>
      <c r="J894" s="6">
        <v>143791.48</v>
      </c>
      <c r="K894" s="6">
        <v>-5038.95</v>
      </c>
      <c r="L894" s="6">
        <v>-3.63</v>
      </c>
      <c r="M894" s="6">
        <f t="shared" si="1"/>
        <v>-1.274715406</v>
      </c>
      <c r="N894" s="6">
        <v>-3.63</v>
      </c>
      <c r="O894" s="7" t="s">
        <v>45</v>
      </c>
      <c r="P894" s="7" t="s">
        <v>46</v>
      </c>
      <c r="Q894" s="7" t="s">
        <v>25</v>
      </c>
      <c r="R894" s="10">
        <v>-10368.83</v>
      </c>
      <c r="S894" s="10">
        <v>5329.88</v>
      </c>
      <c r="T894" s="9" t="s">
        <v>33</v>
      </c>
      <c r="U894" s="9"/>
      <c r="V894" s="9"/>
      <c r="W894" s="9"/>
      <c r="X894" s="9"/>
      <c r="Y894" s="9"/>
      <c r="Z894" s="9"/>
      <c r="AA894" s="9"/>
      <c r="AB894" s="9"/>
    </row>
    <row r="895">
      <c r="A895" s="5">
        <v>42531.0</v>
      </c>
      <c r="B895" s="6">
        <v>2016.0</v>
      </c>
      <c r="C895" s="7" t="s">
        <v>75</v>
      </c>
      <c r="D895" s="7" t="s">
        <v>48</v>
      </c>
      <c r="E895" s="7" t="s">
        <v>37</v>
      </c>
      <c r="F895" s="6">
        <v>7190.0</v>
      </c>
      <c r="G895" s="6">
        <v>252458.26</v>
      </c>
      <c r="H895" s="6">
        <v>35.11</v>
      </c>
      <c r="I895" s="8">
        <v>36.370289290681505</v>
      </c>
      <c r="J895" s="6">
        <v>261502.38</v>
      </c>
      <c r="K895" s="6">
        <v>-9044.12</v>
      </c>
      <c r="L895" s="6">
        <v>-3.58</v>
      </c>
      <c r="M895" s="6">
        <f t="shared" si="1"/>
        <v>-1.257874826</v>
      </c>
      <c r="N895" s="6">
        <v>-3.58</v>
      </c>
      <c r="O895" s="7" t="s">
        <v>45</v>
      </c>
      <c r="P895" s="7" t="s">
        <v>46</v>
      </c>
      <c r="Q895" s="7" t="s">
        <v>25</v>
      </c>
      <c r="R895" s="10">
        <v>-5038.95</v>
      </c>
      <c r="S895" s="10">
        <v>-4005.17</v>
      </c>
      <c r="T895" s="9" t="s">
        <v>29</v>
      </c>
      <c r="U895" s="9"/>
      <c r="V895" s="9"/>
      <c r="W895" s="9"/>
      <c r="X895" s="9"/>
      <c r="Y895" s="9"/>
      <c r="Z895" s="9"/>
      <c r="AA895" s="9"/>
      <c r="AB895" s="9"/>
    </row>
    <row r="896">
      <c r="A896" s="5">
        <v>42532.0</v>
      </c>
      <c r="B896" s="6">
        <v>2016.0</v>
      </c>
      <c r="C896" s="7" t="s">
        <v>75</v>
      </c>
      <c r="D896" s="7" t="s">
        <v>49</v>
      </c>
      <c r="E896" s="7" t="s">
        <v>39</v>
      </c>
      <c r="F896" s="6">
        <v>8577.0</v>
      </c>
      <c r="G896" s="6">
        <v>293917.85</v>
      </c>
      <c r="H896" s="6">
        <v>34.27</v>
      </c>
      <c r="I896" s="8">
        <v>36.35927713652793</v>
      </c>
      <c r="J896" s="6">
        <v>311853.52</v>
      </c>
      <c r="K896" s="6">
        <v>-17935.67</v>
      </c>
      <c r="L896" s="6">
        <v>-6.1</v>
      </c>
      <c r="M896" s="6">
        <f t="shared" si="1"/>
        <v>-2.091135595</v>
      </c>
      <c r="N896" s="6">
        <v>-6.1</v>
      </c>
      <c r="O896" s="7" t="s">
        <v>45</v>
      </c>
      <c r="P896" s="7" t="s">
        <v>46</v>
      </c>
      <c r="Q896" s="7" t="s">
        <v>25</v>
      </c>
      <c r="R896" s="10">
        <v>-9044.12</v>
      </c>
      <c r="S896" s="10">
        <v>-8891.55</v>
      </c>
      <c r="T896" s="9" t="s">
        <v>29</v>
      </c>
      <c r="U896" s="9"/>
      <c r="V896" s="9"/>
      <c r="W896" s="9"/>
      <c r="X896" s="9"/>
      <c r="Y896" s="9"/>
      <c r="Z896" s="9"/>
      <c r="AA896" s="9"/>
      <c r="AB896" s="9"/>
    </row>
    <row r="897">
      <c r="A897" s="5">
        <v>42533.0</v>
      </c>
      <c r="B897" s="6">
        <v>2016.0</v>
      </c>
      <c r="C897" s="7" t="s">
        <v>75</v>
      </c>
      <c r="D897" s="7" t="s">
        <v>50</v>
      </c>
      <c r="E897" s="7" t="s">
        <v>41</v>
      </c>
      <c r="F897" s="6">
        <v>3943.0</v>
      </c>
      <c r="G897" s="6">
        <v>138350.12</v>
      </c>
      <c r="H897" s="6">
        <v>35.09</v>
      </c>
      <c r="I897" s="8">
        <v>36.35472229267056</v>
      </c>
      <c r="J897" s="6">
        <v>143346.67</v>
      </c>
      <c r="K897" s="6">
        <v>-4996.55</v>
      </c>
      <c r="L897" s="6">
        <v>-3.61</v>
      </c>
      <c r="M897" s="6">
        <f t="shared" si="1"/>
        <v>-1.267195029</v>
      </c>
      <c r="N897" s="6">
        <v>-3.61</v>
      </c>
      <c r="O897" s="7" t="s">
        <v>45</v>
      </c>
      <c r="P897" s="7" t="s">
        <v>46</v>
      </c>
      <c r="Q897" s="7" t="s">
        <v>25</v>
      </c>
      <c r="R897" s="10">
        <v>-17935.67</v>
      </c>
      <c r="S897" s="10">
        <v>12939.12</v>
      </c>
      <c r="T897" s="9" t="s">
        <v>33</v>
      </c>
      <c r="U897" s="9"/>
      <c r="V897" s="9"/>
      <c r="W897" s="9"/>
      <c r="X897" s="9"/>
      <c r="Y897" s="9"/>
      <c r="Z897" s="9"/>
      <c r="AA897" s="9"/>
      <c r="AB897" s="9"/>
    </row>
    <row r="898">
      <c r="A898" s="5">
        <v>42534.0</v>
      </c>
      <c r="B898" s="6">
        <v>2016.0</v>
      </c>
      <c r="C898" s="7" t="s">
        <v>75</v>
      </c>
      <c r="D898" s="7" t="s">
        <v>51</v>
      </c>
      <c r="E898" s="7" t="s">
        <v>22</v>
      </c>
      <c r="F898" s="6">
        <v>3707.0</v>
      </c>
      <c r="G898" s="6">
        <v>130067.28</v>
      </c>
      <c r="H898" s="6">
        <v>35.09</v>
      </c>
      <c r="I898" s="8">
        <v>36.40425411383868</v>
      </c>
      <c r="J898" s="6">
        <v>134950.57</v>
      </c>
      <c r="K898" s="6">
        <v>-4883.29</v>
      </c>
      <c r="L898" s="6">
        <v>-3.75</v>
      </c>
      <c r="M898" s="6">
        <f t="shared" si="1"/>
        <v>-1.317315889</v>
      </c>
      <c r="N898" s="6">
        <v>-3.75</v>
      </c>
      <c r="O898" s="7" t="s">
        <v>45</v>
      </c>
      <c r="P898" s="7" t="s">
        <v>46</v>
      </c>
      <c r="Q898" s="7" t="s">
        <v>25</v>
      </c>
      <c r="R898" s="10">
        <v>-4996.55</v>
      </c>
      <c r="S898" s="10">
        <v>113.26</v>
      </c>
      <c r="T898" s="9" t="s">
        <v>33</v>
      </c>
      <c r="U898" s="9"/>
      <c r="V898" s="9"/>
      <c r="W898" s="9"/>
      <c r="X898" s="9"/>
      <c r="Y898" s="9"/>
      <c r="Z898" s="9"/>
      <c r="AA898" s="9"/>
      <c r="AB898" s="9"/>
    </row>
    <row r="899">
      <c r="A899" s="5">
        <v>42535.0</v>
      </c>
      <c r="B899" s="6">
        <v>2016.0</v>
      </c>
      <c r="C899" s="7" t="s">
        <v>75</v>
      </c>
      <c r="D899" s="7" t="s">
        <v>52</v>
      </c>
      <c r="E899" s="7" t="s">
        <v>28</v>
      </c>
      <c r="F899" s="6">
        <v>3054.0</v>
      </c>
      <c r="G899" s="6">
        <v>107168.66</v>
      </c>
      <c r="H899" s="6">
        <v>35.09</v>
      </c>
      <c r="I899" s="8">
        <v>36.402475442043226</v>
      </c>
      <c r="J899" s="6">
        <v>111173.16</v>
      </c>
      <c r="K899" s="6">
        <v>-4004.5</v>
      </c>
      <c r="L899" s="6">
        <v>-3.74</v>
      </c>
      <c r="M899" s="6">
        <f t="shared" si="1"/>
        <v>-1.311231172</v>
      </c>
      <c r="N899" s="6">
        <v>-3.74</v>
      </c>
      <c r="O899" s="7" t="s">
        <v>45</v>
      </c>
      <c r="P899" s="7" t="s">
        <v>46</v>
      </c>
      <c r="Q899" s="7" t="s">
        <v>25</v>
      </c>
      <c r="R899" s="10">
        <v>-4883.29</v>
      </c>
      <c r="S899" s="10">
        <v>878.79</v>
      </c>
      <c r="T899" s="9" t="s">
        <v>33</v>
      </c>
      <c r="U899" s="9"/>
      <c r="V899" s="9"/>
      <c r="W899" s="9"/>
      <c r="X899" s="9"/>
      <c r="Y899" s="9"/>
      <c r="Z899" s="9"/>
      <c r="AA899" s="9"/>
      <c r="AB899" s="9"/>
    </row>
    <row r="900">
      <c r="A900" s="5">
        <v>42536.0</v>
      </c>
      <c r="B900" s="6">
        <v>2016.0</v>
      </c>
      <c r="C900" s="7" t="s">
        <v>75</v>
      </c>
      <c r="D900" s="7" t="s">
        <v>53</v>
      </c>
      <c r="E900" s="7" t="s">
        <v>32</v>
      </c>
      <c r="F900" s="6">
        <v>6541.0</v>
      </c>
      <c r="G900" s="6">
        <v>224030.55</v>
      </c>
      <c r="H900" s="6">
        <v>34.25</v>
      </c>
      <c r="I900" s="8">
        <v>36.37589512306987</v>
      </c>
      <c r="J900" s="6">
        <v>237934.73</v>
      </c>
      <c r="K900" s="6">
        <v>-13904.18</v>
      </c>
      <c r="L900" s="6">
        <v>-6.21</v>
      </c>
      <c r="M900" s="6">
        <f t="shared" si="1"/>
        <v>-2.125696377</v>
      </c>
      <c r="N900" s="6">
        <v>-6.21</v>
      </c>
      <c r="O900" s="7" t="s">
        <v>45</v>
      </c>
      <c r="P900" s="7" t="s">
        <v>46</v>
      </c>
      <c r="Q900" s="7" t="s">
        <v>25</v>
      </c>
      <c r="R900" s="10">
        <v>-4004.5</v>
      </c>
      <c r="S900" s="10">
        <v>-9899.68</v>
      </c>
      <c r="T900" s="9" t="s">
        <v>29</v>
      </c>
      <c r="U900" s="9"/>
      <c r="V900" s="9"/>
      <c r="W900" s="9"/>
      <c r="X900" s="9"/>
      <c r="Y900" s="9"/>
      <c r="Z900" s="9"/>
      <c r="AA900" s="9"/>
      <c r="AB900" s="9"/>
    </row>
    <row r="901">
      <c r="A901" s="5">
        <v>42537.0</v>
      </c>
      <c r="B901" s="6">
        <v>2016.0</v>
      </c>
      <c r="C901" s="7" t="s">
        <v>75</v>
      </c>
      <c r="D901" s="7" t="s">
        <v>54</v>
      </c>
      <c r="E901" s="7" t="s">
        <v>35</v>
      </c>
      <c r="F901" s="6">
        <v>5749.0</v>
      </c>
      <c r="G901" s="6">
        <v>201918.22</v>
      </c>
      <c r="H901" s="6">
        <v>35.12</v>
      </c>
      <c r="I901" s="8">
        <v>36.37077230822752</v>
      </c>
      <c r="J901" s="6">
        <v>209095.57</v>
      </c>
      <c r="K901" s="6">
        <v>-7177.35</v>
      </c>
      <c r="L901" s="6">
        <v>-3.55</v>
      </c>
      <c r="M901" s="6">
        <f t="shared" si="1"/>
        <v>-1.248451905</v>
      </c>
      <c r="N901" s="6">
        <v>-3.55</v>
      </c>
      <c r="O901" s="7" t="s">
        <v>45</v>
      </c>
      <c r="P901" s="7" t="s">
        <v>46</v>
      </c>
      <c r="Q901" s="7" t="s">
        <v>25</v>
      </c>
      <c r="R901" s="10">
        <v>-13904.18</v>
      </c>
      <c r="S901" s="10">
        <v>6726.83</v>
      </c>
      <c r="T901" s="9" t="s">
        <v>33</v>
      </c>
      <c r="U901" s="9"/>
      <c r="V901" s="9"/>
      <c r="W901" s="9"/>
      <c r="X901" s="9"/>
      <c r="Y901" s="9"/>
      <c r="Z901" s="9"/>
      <c r="AA901" s="9"/>
      <c r="AB901" s="9"/>
    </row>
    <row r="902">
      <c r="A902" s="5">
        <v>42538.0</v>
      </c>
      <c r="B902" s="6">
        <v>2016.0</v>
      </c>
      <c r="C902" s="7" t="s">
        <v>75</v>
      </c>
      <c r="D902" s="7" t="s">
        <v>55</v>
      </c>
      <c r="E902" s="7" t="s">
        <v>37</v>
      </c>
      <c r="F902" s="6">
        <v>9385.0</v>
      </c>
      <c r="G902" s="6">
        <v>329344.27</v>
      </c>
      <c r="H902" s="6">
        <v>35.09</v>
      </c>
      <c r="I902" s="8">
        <v>36.36156952583911</v>
      </c>
      <c r="J902" s="6">
        <v>341253.33</v>
      </c>
      <c r="K902" s="6">
        <v>-11909.06</v>
      </c>
      <c r="L902" s="6">
        <v>-3.62</v>
      </c>
      <c r="M902" s="6">
        <f t="shared" si="1"/>
        <v>-1.268946191</v>
      </c>
      <c r="N902" s="6">
        <v>-3.62</v>
      </c>
      <c r="O902" s="7" t="s">
        <v>45</v>
      </c>
      <c r="P902" s="7" t="s">
        <v>46</v>
      </c>
      <c r="Q902" s="7" t="s">
        <v>25</v>
      </c>
      <c r="R902" s="10">
        <v>-7177.35</v>
      </c>
      <c r="S902" s="10">
        <v>-4731.71</v>
      </c>
      <c r="T902" s="9" t="s">
        <v>29</v>
      </c>
      <c r="U902" s="9"/>
      <c r="V902" s="9"/>
      <c r="W902" s="9"/>
      <c r="X902" s="9"/>
      <c r="Y902" s="9"/>
      <c r="Z902" s="9"/>
      <c r="AA902" s="9"/>
      <c r="AB902" s="9"/>
    </row>
    <row r="903">
      <c r="A903" s="5">
        <v>42539.0</v>
      </c>
      <c r="B903" s="6">
        <v>2016.0</v>
      </c>
      <c r="C903" s="7" t="s">
        <v>75</v>
      </c>
      <c r="D903" s="7" t="s">
        <v>56</v>
      </c>
      <c r="E903" s="7" t="s">
        <v>39</v>
      </c>
      <c r="F903" s="6">
        <v>9012.0</v>
      </c>
      <c r="G903" s="6">
        <v>308642.98</v>
      </c>
      <c r="H903" s="6">
        <v>34.25</v>
      </c>
      <c r="I903" s="8">
        <v>36.35952507767421</v>
      </c>
      <c r="J903" s="6">
        <v>327672.04</v>
      </c>
      <c r="K903" s="6">
        <v>-19029.06</v>
      </c>
      <c r="L903" s="6">
        <v>-6.17</v>
      </c>
      <c r="M903" s="6">
        <f t="shared" si="1"/>
        <v>-2.111524634</v>
      </c>
      <c r="N903" s="6">
        <v>-6.17</v>
      </c>
      <c r="O903" s="7" t="s">
        <v>45</v>
      </c>
      <c r="P903" s="7" t="s">
        <v>46</v>
      </c>
      <c r="Q903" s="7" t="s">
        <v>25</v>
      </c>
      <c r="R903" s="10">
        <v>-11909.06</v>
      </c>
      <c r="S903" s="10">
        <v>-7120.0</v>
      </c>
      <c r="T903" s="9" t="s">
        <v>29</v>
      </c>
      <c r="U903" s="9"/>
      <c r="V903" s="9"/>
      <c r="W903" s="9"/>
      <c r="X903" s="9"/>
      <c r="Y903" s="9"/>
      <c r="Z903" s="9"/>
      <c r="AA903" s="9"/>
      <c r="AB903" s="9"/>
    </row>
    <row r="904">
      <c r="A904" s="5">
        <v>42540.0</v>
      </c>
      <c r="B904" s="6">
        <v>2016.0</v>
      </c>
      <c r="C904" s="7" t="s">
        <v>75</v>
      </c>
      <c r="D904" s="7" t="s">
        <v>57</v>
      </c>
      <c r="E904" s="7" t="s">
        <v>41</v>
      </c>
      <c r="F904" s="6">
        <v>3831.0</v>
      </c>
      <c r="G904" s="6">
        <v>134472.41</v>
      </c>
      <c r="H904" s="6">
        <v>35.1</v>
      </c>
      <c r="I904" s="8">
        <v>36.38368050117463</v>
      </c>
      <c r="J904" s="6">
        <v>139385.88</v>
      </c>
      <c r="K904" s="6">
        <v>-4913.47</v>
      </c>
      <c r="L904" s="6">
        <v>-3.65</v>
      </c>
      <c r="M904" s="6">
        <f t="shared" si="1"/>
        <v>-1.282555469</v>
      </c>
      <c r="N904" s="6">
        <v>-3.65</v>
      </c>
      <c r="O904" s="7" t="s">
        <v>45</v>
      </c>
      <c r="P904" s="7" t="s">
        <v>46</v>
      </c>
      <c r="Q904" s="7" t="s">
        <v>25</v>
      </c>
      <c r="R904" s="10">
        <v>-19029.06</v>
      </c>
      <c r="S904" s="10">
        <v>14115.59</v>
      </c>
      <c r="T904" s="9" t="s">
        <v>33</v>
      </c>
      <c r="U904" s="9"/>
      <c r="V904" s="9"/>
      <c r="W904" s="9"/>
      <c r="X904" s="9"/>
      <c r="Y904" s="9"/>
      <c r="Z904" s="9"/>
      <c r="AA904" s="9"/>
      <c r="AB904" s="9"/>
    </row>
    <row r="905">
      <c r="A905" s="5">
        <v>42541.0</v>
      </c>
      <c r="B905" s="6">
        <v>2016.0</v>
      </c>
      <c r="C905" s="7" t="s">
        <v>75</v>
      </c>
      <c r="D905" s="7" t="s">
        <v>58</v>
      </c>
      <c r="E905" s="7" t="s">
        <v>22</v>
      </c>
      <c r="F905" s="6">
        <v>4097.0</v>
      </c>
      <c r="G905" s="6">
        <v>143809.72</v>
      </c>
      <c r="H905" s="6">
        <v>35.1</v>
      </c>
      <c r="I905" s="8">
        <v>36.35682450573591</v>
      </c>
      <c r="J905" s="6">
        <v>148953.91</v>
      </c>
      <c r="K905" s="6">
        <v>-5144.19</v>
      </c>
      <c r="L905" s="6">
        <v>-3.58</v>
      </c>
      <c r="M905" s="6">
        <f t="shared" si="1"/>
        <v>-1.255599219</v>
      </c>
      <c r="N905" s="6">
        <v>-3.58</v>
      </c>
      <c r="O905" s="7" t="s">
        <v>45</v>
      </c>
      <c r="P905" s="7" t="s">
        <v>46</v>
      </c>
      <c r="Q905" s="7" t="s">
        <v>25</v>
      </c>
      <c r="R905" s="10">
        <v>-4913.47</v>
      </c>
      <c r="S905" s="10">
        <v>-230.72</v>
      </c>
      <c r="T905" s="9" t="s">
        <v>29</v>
      </c>
      <c r="U905" s="9"/>
      <c r="V905" s="9"/>
      <c r="W905" s="9"/>
      <c r="X905" s="9"/>
      <c r="Y905" s="9"/>
      <c r="Z905" s="9"/>
      <c r="AA905" s="9"/>
      <c r="AB905" s="9"/>
    </row>
    <row r="906">
      <c r="A906" s="5">
        <v>42542.0</v>
      </c>
      <c r="B906" s="6">
        <v>2016.0</v>
      </c>
      <c r="C906" s="7" t="s">
        <v>75</v>
      </c>
      <c r="D906" s="7" t="s">
        <v>59</v>
      </c>
      <c r="E906" s="7" t="s">
        <v>28</v>
      </c>
      <c r="F906" s="6">
        <v>3509.0</v>
      </c>
      <c r="G906" s="6">
        <v>123252.15</v>
      </c>
      <c r="H906" s="6">
        <v>35.12</v>
      </c>
      <c r="I906" s="8">
        <v>36.344545454545454</v>
      </c>
      <c r="J906" s="6">
        <v>127533.01</v>
      </c>
      <c r="K906" s="6">
        <v>-4280.86</v>
      </c>
      <c r="L906" s="6">
        <v>-3.47</v>
      </c>
      <c r="M906" s="6">
        <f t="shared" si="1"/>
        <v>-1.219965802</v>
      </c>
      <c r="N906" s="6">
        <v>-3.47</v>
      </c>
      <c r="O906" s="7" t="s">
        <v>45</v>
      </c>
      <c r="P906" s="7" t="s">
        <v>46</v>
      </c>
      <c r="Q906" s="7" t="s">
        <v>25</v>
      </c>
      <c r="R906" s="10">
        <v>-5144.19</v>
      </c>
      <c r="S906" s="10">
        <v>863.33</v>
      </c>
      <c r="T906" s="9" t="s">
        <v>33</v>
      </c>
      <c r="U906" s="9"/>
      <c r="V906" s="9"/>
      <c r="W906" s="9"/>
      <c r="X906" s="9"/>
      <c r="Y906" s="9"/>
      <c r="Z906" s="9"/>
      <c r="AA906" s="9"/>
      <c r="AB906" s="9"/>
    </row>
    <row r="907">
      <c r="A907" s="5">
        <v>42543.0</v>
      </c>
      <c r="B907" s="6">
        <v>2016.0</v>
      </c>
      <c r="C907" s="7" t="s">
        <v>75</v>
      </c>
      <c r="D907" s="7" t="s">
        <v>60</v>
      </c>
      <c r="E907" s="7" t="s">
        <v>32</v>
      </c>
      <c r="F907" s="6">
        <v>953.0</v>
      </c>
      <c r="G907" s="6">
        <v>40067.15</v>
      </c>
      <c r="H907" s="6">
        <v>42.04</v>
      </c>
      <c r="I907" s="8">
        <v>36.26346274921301</v>
      </c>
      <c r="J907" s="6">
        <v>34559.08</v>
      </c>
      <c r="K907" s="6">
        <v>5508.07</v>
      </c>
      <c r="L907" s="6">
        <v>13.75</v>
      </c>
      <c r="M907" s="6">
        <f t="shared" si="1"/>
        <v>5.779716684</v>
      </c>
      <c r="N907" s="6">
        <v>13.75</v>
      </c>
      <c r="O907" s="7" t="s">
        <v>45</v>
      </c>
      <c r="P907" s="7" t="s">
        <v>46</v>
      </c>
      <c r="Q907" s="7" t="s">
        <v>25</v>
      </c>
      <c r="R907" s="10">
        <v>-4280.86</v>
      </c>
      <c r="S907" s="10">
        <v>9788.92</v>
      </c>
      <c r="T907" s="9" t="s">
        <v>33</v>
      </c>
      <c r="U907" s="9"/>
      <c r="V907" s="9"/>
      <c r="W907" s="9"/>
      <c r="X907" s="9"/>
      <c r="Y907" s="9"/>
      <c r="Z907" s="9"/>
      <c r="AA907" s="9"/>
      <c r="AB907" s="9"/>
    </row>
    <row r="908">
      <c r="A908" s="5">
        <v>42544.0</v>
      </c>
      <c r="B908" s="6">
        <v>2016.0</v>
      </c>
      <c r="C908" s="7" t="s">
        <v>75</v>
      </c>
      <c r="D908" s="7" t="s">
        <v>61</v>
      </c>
      <c r="E908" s="7" t="s">
        <v>35</v>
      </c>
      <c r="F908" s="6">
        <v>4305.0</v>
      </c>
      <c r="G908" s="6">
        <v>143752.74</v>
      </c>
      <c r="H908" s="6">
        <v>33.39</v>
      </c>
      <c r="I908" s="8">
        <v>36.15784668989547</v>
      </c>
      <c r="J908" s="6">
        <v>155659.53</v>
      </c>
      <c r="K908" s="6">
        <v>-11906.8</v>
      </c>
      <c r="L908" s="6">
        <v>-8.28</v>
      </c>
      <c r="M908" s="6">
        <f t="shared" si="1"/>
        <v>-2.765807201</v>
      </c>
      <c r="N908" s="6">
        <v>-8.28</v>
      </c>
      <c r="O908" s="7" t="s">
        <v>45</v>
      </c>
      <c r="P908" s="7" t="s">
        <v>46</v>
      </c>
      <c r="Q908" s="7" t="s">
        <v>25</v>
      </c>
      <c r="R908" s="10">
        <v>5508.07</v>
      </c>
      <c r="S908" s="10">
        <v>-17414.86</v>
      </c>
      <c r="T908" s="9" t="s">
        <v>29</v>
      </c>
      <c r="U908" s="9"/>
      <c r="V908" s="9"/>
      <c r="W908" s="9"/>
      <c r="X908" s="9"/>
      <c r="Y908" s="9"/>
      <c r="Z908" s="9"/>
      <c r="AA908" s="9"/>
      <c r="AB908" s="9"/>
    </row>
    <row r="909">
      <c r="A909" s="5">
        <v>42545.0</v>
      </c>
      <c r="B909" s="6">
        <v>2016.0</v>
      </c>
      <c r="C909" s="7" t="s">
        <v>75</v>
      </c>
      <c r="D909" s="7" t="s">
        <v>62</v>
      </c>
      <c r="E909" s="7" t="s">
        <v>37</v>
      </c>
      <c r="F909" s="6">
        <v>11667.0</v>
      </c>
      <c r="G909" s="6">
        <v>389904.01</v>
      </c>
      <c r="H909" s="6">
        <v>33.42</v>
      </c>
      <c r="I909" s="8">
        <v>36.202329647724355</v>
      </c>
      <c r="J909" s="6">
        <v>422372.58</v>
      </c>
      <c r="K909" s="6">
        <v>-32468.57</v>
      </c>
      <c r="L909" s="6">
        <v>-8.33</v>
      </c>
      <c r="M909" s="6">
        <f t="shared" si="1"/>
        <v>-2.782940773</v>
      </c>
      <c r="N909" s="6">
        <v>-8.33</v>
      </c>
      <c r="O909" s="7" t="s">
        <v>45</v>
      </c>
      <c r="P909" s="7" t="s">
        <v>46</v>
      </c>
      <c r="Q909" s="7" t="s">
        <v>25</v>
      </c>
      <c r="R909" s="10">
        <v>-11906.8</v>
      </c>
      <c r="S909" s="10">
        <v>-20561.78</v>
      </c>
      <c r="T909" s="9" t="s">
        <v>29</v>
      </c>
      <c r="U909" s="9"/>
      <c r="V909" s="9"/>
      <c r="W909" s="9"/>
      <c r="X909" s="9"/>
      <c r="Y909" s="9"/>
      <c r="Z909" s="9"/>
      <c r="AA909" s="9"/>
      <c r="AB909" s="9"/>
    </row>
    <row r="910">
      <c r="A910" s="5">
        <v>42546.0</v>
      </c>
      <c r="B910" s="6">
        <v>2016.0</v>
      </c>
      <c r="C910" s="7" t="s">
        <v>75</v>
      </c>
      <c r="D910" s="7" t="s">
        <v>63</v>
      </c>
      <c r="E910" s="7" t="s">
        <v>39</v>
      </c>
      <c r="F910" s="6">
        <v>13793.0</v>
      </c>
      <c r="G910" s="6">
        <v>461280.79</v>
      </c>
      <c r="H910" s="6">
        <v>33.44</v>
      </c>
      <c r="I910" s="8">
        <v>36.171270209526575</v>
      </c>
      <c r="J910" s="6">
        <v>498910.33</v>
      </c>
      <c r="K910" s="6">
        <v>-37629.54</v>
      </c>
      <c r="L910" s="6">
        <v>-8.16</v>
      </c>
      <c r="M910" s="6">
        <f t="shared" si="1"/>
        <v>-2.728162111</v>
      </c>
      <c r="N910" s="6">
        <v>-8.16</v>
      </c>
      <c r="O910" s="7" t="s">
        <v>45</v>
      </c>
      <c r="P910" s="7" t="s">
        <v>46</v>
      </c>
      <c r="Q910" s="7" t="s">
        <v>25</v>
      </c>
      <c r="R910" s="10">
        <v>-32468.57</v>
      </c>
      <c r="S910" s="10">
        <v>-5160.97</v>
      </c>
      <c r="T910" s="9" t="s">
        <v>29</v>
      </c>
      <c r="U910" s="9"/>
      <c r="V910" s="9"/>
      <c r="W910" s="9"/>
      <c r="X910" s="9"/>
      <c r="Y910" s="9"/>
      <c r="Z910" s="9"/>
      <c r="AA910" s="9"/>
      <c r="AB910" s="9"/>
    </row>
    <row r="911">
      <c r="A911" s="5">
        <v>42547.0</v>
      </c>
      <c r="B911" s="6">
        <v>2016.0</v>
      </c>
      <c r="C911" s="7" t="s">
        <v>75</v>
      </c>
      <c r="D911" s="7" t="s">
        <v>64</v>
      </c>
      <c r="E911" s="7" t="s">
        <v>41</v>
      </c>
      <c r="F911" s="6">
        <v>6641.0</v>
      </c>
      <c r="G911" s="6">
        <v>221578.7</v>
      </c>
      <c r="H911" s="6">
        <v>33.37</v>
      </c>
      <c r="I911" s="8">
        <v>36.20683933142599</v>
      </c>
      <c r="J911" s="6">
        <v>240449.62</v>
      </c>
      <c r="K911" s="6">
        <v>-18870.93</v>
      </c>
      <c r="L911" s="6">
        <v>-8.52</v>
      </c>
      <c r="M911" s="6">
        <f t="shared" si="1"/>
        <v>-2.841579581</v>
      </c>
      <c r="N911" s="6">
        <v>-8.52</v>
      </c>
      <c r="O911" s="7" t="s">
        <v>45</v>
      </c>
      <c r="P911" s="7" t="s">
        <v>46</v>
      </c>
      <c r="Q911" s="7" t="s">
        <v>25</v>
      </c>
      <c r="R911" s="10">
        <v>-37629.54</v>
      </c>
      <c r="S911" s="10">
        <v>18758.62</v>
      </c>
      <c r="T911" s="9" t="s">
        <v>33</v>
      </c>
      <c r="U911" s="9"/>
      <c r="V911" s="9"/>
      <c r="W911" s="9"/>
      <c r="X911" s="9"/>
      <c r="Y911" s="9"/>
      <c r="Z911" s="9"/>
      <c r="AA911" s="9"/>
      <c r="AB911" s="9"/>
    </row>
    <row r="912">
      <c r="A912" s="5">
        <v>42548.0</v>
      </c>
      <c r="B912" s="6">
        <v>2016.0</v>
      </c>
      <c r="C912" s="7" t="s">
        <v>75</v>
      </c>
      <c r="D912" s="7" t="s">
        <v>65</v>
      </c>
      <c r="E912" s="7" t="s">
        <v>22</v>
      </c>
      <c r="F912" s="6">
        <v>7593.0</v>
      </c>
      <c r="G912" s="6">
        <v>253702.22</v>
      </c>
      <c r="H912" s="6">
        <v>33.41</v>
      </c>
      <c r="I912" s="8">
        <v>36.14198340576847</v>
      </c>
      <c r="J912" s="6">
        <v>274426.08</v>
      </c>
      <c r="K912" s="6">
        <v>-20723.86</v>
      </c>
      <c r="L912" s="6">
        <v>-8.17</v>
      </c>
      <c r="M912" s="6">
        <f t="shared" si="1"/>
        <v>-2.729337548</v>
      </c>
      <c r="N912" s="6">
        <v>-8.17</v>
      </c>
      <c r="O912" s="7" t="s">
        <v>45</v>
      </c>
      <c r="P912" s="7" t="s">
        <v>46</v>
      </c>
      <c r="Q912" s="7" t="s">
        <v>25</v>
      </c>
      <c r="R912" s="10">
        <v>-18870.93</v>
      </c>
      <c r="S912" s="10">
        <v>-1852.93</v>
      </c>
      <c r="T912" s="9" t="s">
        <v>29</v>
      </c>
      <c r="U912" s="9"/>
      <c r="V912" s="9"/>
      <c r="W912" s="9"/>
      <c r="X912" s="9"/>
      <c r="Y912" s="9"/>
      <c r="Z912" s="9"/>
      <c r="AA912" s="9"/>
      <c r="AB912" s="9"/>
    </row>
    <row r="913">
      <c r="A913" s="5">
        <v>42549.0</v>
      </c>
      <c r="B913" s="6">
        <v>2016.0</v>
      </c>
      <c r="C913" s="7" t="s">
        <v>75</v>
      </c>
      <c r="D913" s="7" t="s">
        <v>66</v>
      </c>
      <c r="E913" s="7" t="s">
        <v>28</v>
      </c>
      <c r="F913" s="6">
        <v>6007.0</v>
      </c>
      <c r="G913" s="6">
        <v>200616.08</v>
      </c>
      <c r="H913" s="6">
        <v>33.4</v>
      </c>
      <c r="I913" s="8">
        <v>36.14193108040619</v>
      </c>
      <c r="J913" s="6">
        <v>217104.58</v>
      </c>
      <c r="K913" s="6">
        <v>-16488.5</v>
      </c>
      <c r="L913" s="6">
        <v>-8.22</v>
      </c>
      <c r="M913" s="6">
        <f t="shared" si="1"/>
        <v>-2.744880972</v>
      </c>
      <c r="N913" s="6">
        <v>-8.22</v>
      </c>
      <c r="O913" s="7" t="s">
        <v>45</v>
      </c>
      <c r="P913" s="7" t="s">
        <v>46</v>
      </c>
      <c r="Q913" s="7" t="s">
        <v>25</v>
      </c>
      <c r="R913" s="10">
        <v>-20723.86</v>
      </c>
      <c r="S913" s="10">
        <v>4235.35</v>
      </c>
      <c r="T913" s="9" t="s">
        <v>33</v>
      </c>
      <c r="U913" s="9"/>
      <c r="V913" s="9"/>
      <c r="W913" s="9"/>
      <c r="X913" s="9"/>
      <c r="Y913" s="9"/>
      <c r="Z913" s="9"/>
      <c r="AA913" s="9"/>
      <c r="AB913" s="9"/>
    </row>
    <row r="914">
      <c r="A914" s="5">
        <v>42550.0</v>
      </c>
      <c r="B914" s="6">
        <v>2016.0</v>
      </c>
      <c r="C914" s="7" t="s">
        <v>75</v>
      </c>
      <c r="D914" s="7" t="s">
        <v>67</v>
      </c>
      <c r="E914" s="7" t="s">
        <v>32</v>
      </c>
      <c r="F914" s="6">
        <v>6345.0</v>
      </c>
      <c r="G914" s="6">
        <v>211700.81</v>
      </c>
      <c r="H914" s="6">
        <v>33.36</v>
      </c>
      <c r="I914" s="8">
        <v>36.09516312056738</v>
      </c>
      <c r="J914" s="6">
        <v>229023.81</v>
      </c>
      <c r="K914" s="6">
        <v>-17323.0</v>
      </c>
      <c r="L914" s="6">
        <v>-8.18</v>
      </c>
      <c r="M914" s="6">
        <f t="shared" si="1"/>
        <v>-2.730181245</v>
      </c>
      <c r="N914" s="6">
        <v>-8.18</v>
      </c>
      <c r="O914" s="7" t="s">
        <v>45</v>
      </c>
      <c r="P914" s="7" t="s">
        <v>46</v>
      </c>
      <c r="Q914" s="7" t="s">
        <v>25</v>
      </c>
      <c r="R914" s="10">
        <v>-16488.5</v>
      </c>
      <c r="S914" s="10">
        <v>-834.49</v>
      </c>
      <c r="T914" s="9" t="s">
        <v>29</v>
      </c>
      <c r="U914" s="9"/>
      <c r="V914" s="9"/>
      <c r="W914" s="9"/>
      <c r="X914" s="9"/>
      <c r="Y914" s="9"/>
      <c r="Z914" s="9"/>
      <c r="AA914" s="9"/>
      <c r="AB914" s="9"/>
    </row>
    <row r="915">
      <c r="A915" s="5">
        <v>42551.0</v>
      </c>
      <c r="B915" s="6">
        <v>2016.0</v>
      </c>
      <c r="C915" s="7" t="s">
        <v>75</v>
      </c>
      <c r="D915" s="7" t="s">
        <v>21</v>
      </c>
      <c r="E915" s="7" t="s">
        <v>35</v>
      </c>
      <c r="F915" s="6">
        <v>8482.0</v>
      </c>
      <c r="G915" s="6">
        <v>282757.71</v>
      </c>
      <c r="H915" s="6">
        <v>33.34</v>
      </c>
      <c r="I915" s="8">
        <v>36.06392124498939</v>
      </c>
      <c r="J915" s="6">
        <v>305894.18</v>
      </c>
      <c r="K915" s="6">
        <v>-23136.47</v>
      </c>
      <c r="L915" s="6">
        <v>-8.18</v>
      </c>
      <c r="M915" s="6">
        <f t="shared" si="1"/>
        <v>-2.727713983</v>
      </c>
      <c r="N915" s="6">
        <v>-8.18</v>
      </c>
      <c r="O915" s="7" t="s">
        <v>23</v>
      </c>
      <c r="P915" s="7" t="s">
        <v>46</v>
      </c>
      <c r="Q915" s="7" t="s">
        <v>25</v>
      </c>
      <c r="R915" s="10">
        <v>-17323.0</v>
      </c>
      <c r="S915" s="10">
        <v>-5813.47</v>
      </c>
      <c r="T915" s="9" t="s">
        <v>29</v>
      </c>
      <c r="U915" s="9"/>
      <c r="V915" s="9"/>
      <c r="W915" s="9"/>
      <c r="X915" s="9"/>
      <c r="Y915" s="9"/>
      <c r="Z915" s="9"/>
      <c r="AA915" s="9"/>
      <c r="AB915" s="9"/>
    </row>
    <row r="916">
      <c r="A916" s="5">
        <v>42552.0</v>
      </c>
      <c r="B916" s="6">
        <v>2016.0</v>
      </c>
      <c r="C916" s="7" t="s">
        <v>76</v>
      </c>
      <c r="D916" s="7" t="s">
        <v>31</v>
      </c>
      <c r="E916" s="7" t="s">
        <v>37</v>
      </c>
      <c r="F916" s="6">
        <v>14344.0</v>
      </c>
      <c r="G916" s="6">
        <v>479010.16</v>
      </c>
      <c r="H916" s="6">
        <v>33.39</v>
      </c>
      <c r="I916" s="8">
        <v>36.09468697713329</v>
      </c>
      <c r="J916" s="6">
        <v>517742.19</v>
      </c>
      <c r="K916" s="6">
        <v>-38732.04</v>
      </c>
      <c r="L916" s="6">
        <v>-8.09</v>
      </c>
      <c r="M916" s="6">
        <f t="shared" si="1"/>
        <v>-2.700225878</v>
      </c>
      <c r="N916" s="6">
        <v>-8.09</v>
      </c>
      <c r="O916" s="7" t="s">
        <v>45</v>
      </c>
      <c r="P916" s="7" t="s">
        <v>46</v>
      </c>
      <c r="Q916" s="7" t="s">
        <v>25</v>
      </c>
      <c r="R916" s="10">
        <v>-23136.47</v>
      </c>
      <c r="S916" s="10">
        <v>-15595.57</v>
      </c>
      <c r="T916" s="9" t="s">
        <v>29</v>
      </c>
      <c r="U916" s="9"/>
      <c r="V916" s="9"/>
      <c r="W916" s="9"/>
      <c r="X916" s="9"/>
      <c r="Y916" s="9"/>
      <c r="Z916" s="9"/>
      <c r="AA916" s="9"/>
      <c r="AB916" s="9"/>
    </row>
    <row r="917">
      <c r="A917" s="5">
        <v>42553.0</v>
      </c>
      <c r="B917" s="6">
        <v>2016.0</v>
      </c>
      <c r="C917" s="7" t="s">
        <v>76</v>
      </c>
      <c r="D917" s="7" t="s">
        <v>34</v>
      </c>
      <c r="E917" s="7" t="s">
        <v>39</v>
      </c>
      <c r="F917" s="6">
        <v>13609.0</v>
      </c>
      <c r="G917" s="6">
        <v>454543.29</v>
      </c>
      <c r="H917" s="6">
        <v>33.4</v>
      </c>
      <c r="I917" s="8">
        <v>36.0413711514439</v>
      </c>
      <c r="J917" s="6">
        <v>490487.02</v>
      </c>
      <c r="K917" s="6">
        <v>-35943.74</v>
      </c>
      <c r="L917" s="6">
        <v>-7.91</v>
      </c>
      <c r="M917" s="6">
        <f t="shared" si="1"/>
        <v>-2.641174223</v>
      </c>
      <c r="N917" s="6">
        <v>-7.91</v>
      </c>
      <c r="O917" s="7" t="s">
        <v>45</v>
      </c>
      <c r="P917" s="7" t="s">
        <v>46</v>
      </c>
      <c r="Q917" s="7" t="s">
        <v>25</v>
      </c>
      <c r="R917" s="10">
        <v>-38732.04</v>
      </c>
      <c r="S917" s="10">
        <v>2788.3</v>
      </c>
      <c r="T917" s="9" t="s">
        <v>33</v>
      </c>
      <c r="U917" s="9"/>
      <c r="V917" s="9"/>
      <c r="W917" s="9"/>
      <c r="X917" s="9"/>
      <c r="Y917" s="9"/>
      <c r="Z917" s="9"/>
      <c r="AA917" s="9"/>
      <c r="AB917" s="9"/>
    </row>
    <row r="918">
      <c r="A918" s="5">
        <v>42554.0</v>
      </c>
      <c r="B918" s="6">
        <v>2016.0</v>
      </c>
      <c r="C918" s="7" t="s">
        <v>76</v>
      </c>
      <c r="D918" s="7" t="s">
        <v>36</v>
      </c>
      <c r="E918" s="7" t="s">
        <v>41</v>
      </c>
      <c r="F918" s="6">
        <v>7259.0</v>
      </c>
      <c r="G918" s="6">
        <v>242185.18</v>
      </c>
      <c r="H918" s="6">
        <v>33.36</v>
      </c>
      <c r="I918" s="8">
        <v>36.02905496624879</v>
      </c>
      <c r="J918" s="6">
        <v>261534.91</v>
      </c>
      <c r="K918" s="6">
        <v>-19349.73</v>
      </c>
      <c r="L918" s="6">
        <v>-7.99</v>
      </c>
      <c r="M918" s="6">
        <f t="shared" si="1"/>
        <v>-2.665619231</v>
      </c>
      <c r="N918" s="6">
        <v>-7.99</v>
      </c>
      <c r="O918" s="7" t="s">
        <v>45</v>
      </c>
      <c r="P918" s="7" t="s">
        <v>46</v>
      </c>
      <c r="Q918" s="7" t="s">
        <v>25</v>
      </c>
      <c r="R918" s="10">
        <v>-35943.74</v>
      </c>
      <c r="S918" s="10">
        <v>16594.01</v>
      </c>
      <c r="T918" s="9" t="s">
        <v>33</v>
      </c>
      <c r="U918" s="9"/>
      <c r="V918" s="9"/>
      <c r="W918" s="9"/>
      <c r="X918" s="9"/>
      <c r="Y918" s="9"/>
      <c r="Z918" s="9"/>
      <c r="AA918" s="9"/>
      <c r="AB918" s="9"/>
    </row>
    <row r="919">
      <c r="A919" s="5">
        <v>42555.0</v>
      </c>
      <c r="B919" s="6">
        <v>2016.0</v>
      </c>
      <c r="C919" s="7" t="s">
        <v>76</v>
      </c>
      <c r="D919" s="7" t="s">
        <v>38</v>
      </c>
      <c r="E919" s="7" t="s">
        <v>22</v>
      </c>
      <c r="F919" s="6">
        <v>8431.0</v>
      </c>
      <c r="G919" s="6">
        <v>281531.69</v>
      </c>
      <c r="H919" s="6">
        <v>33.39</v>
      </c>
      <c r="I919" s="8">
        <v>36.06363183489503</v>
      </c>
      <c r="J919" s="6">
        <v>304052.48</v>
      </c>
      <c r="K919" s="6">
        <v>-22520.79</v>
      </c>
      <c r="L919" s="6">
        <v>-8.0</v>
      </c>
      <c r="M919" s="6">
        <f t="shared" si="1"/>
        <v>-2.671188471</v>
      </c>
      <c r="N919" s="6">
        <v>-8.0</v>
      </c>
      <c r="O919" s="7" t="s">
        <v>45</v>
      </c>
      <c r="P919" s="7" t="s">
        <v>46</v>
      </c>
      <c r="Q919" s="7" t="s">
        <v>25</v>
      </c>
      <c r="R919" s="10">
        <v>-19349.73</v>
      </c>
      <c r="S919" s="10">
        <v>-3171.06</v>
      </c>
      <c r="T919" s="9" t="s">
        <v>29</v>
      </c>
      <c r="U919" s="9"/>
      <c r="V919" s="9"/>
      <c r="W919" s="9"/>
      <c r="X919" s="9"/>
      <c r="Y919" s="9"/>
      <c r="Z919" s="9"/>
      <c r="AA919" s="9"/>
      <c r="AB919" s="9"/>
    </row>
    <row r="920">
      <c r="A920" s="5">
        <v>42556.0</v>
      </c>
      <c r="B920" s="6">
        <v>2016.0</v>
      </c>
      <c r="C920" s="7" t="s">
        <v>76</v>
      </c>
      <c r="D920" s="7" t="s">
        <v>40</v>
      </c>
      <c r="E920" s="7" t="s">
        <v>28</v>
      </c>
      <c r="F920" s="6">
        <v>6577.0</v>
      </c>
      <c r="G920" s="6">
        <v>219363.22</v>
      </c>
      <c r="H920" s="6">
        <v>33.35</v>
      </c>
      <c r="I920" s="8">
        <v>36.038672647103546</v>
      </c>
      <c r="J920" s="6">
        <v>237026.35</v>
      </c>
      <c r="K920" s="6">
        <v>-17663.13</v>
      </c>
      <c r="L920" s="6">
        <v>-8.05</v>
      </c>
      <c r="M920" s="6">
        <f t="shared" si="1"/>
        <v>-2.685590695</v>
      </c>
      <c r="N920" s="6">
        <v>-8.05</v>
      </c>
      <c r="O920" s="7" t="s">
        <v>23</v>
      </c>
      <c r="P920" s="7" t="s">
        <v>46</v>
      </c>
      <c r="Q920" s="7" t="s">
        <v>25</v>
      </c>
      <c r="R920" s="10">
        <v>-22520.79</v>
      </c>
      <c r="S920" s="10">
        <v>4857.66</v>
      </c>
      <c r="T920" s="9" t="s">
        <v>33</v>
      </c>
      <c r="U920" s="9"/>
      <c r="V920" s="9"/>
      <c r="W920" s="9"/>
      <c r="X920" s="9"/>
      <c r="Y920" s="9"/>
      <c r="Z920" s="9"/>
      <c r="AA920" s="9"/>
      <c r="AB920" s="9"/>
    </row>
    <row r="921">
      <c r="A921" s="5">
        <v>42557.0</v>
      </c>
      <c r="B921" s="6">
        <v>2016.0</v>
      </c>
      <c r="C921" s="7" t="s">
        <v>76</v>
      </c>
      <c r="D921" s="7" t="s">
        <v>42</v>
      </c>
      <c r="E921" s="7" t="s">
        <v>32</v>
      </c>
      <c r="F921" s="6">
        <v>6098.0</v>
      </c>
      <c r="G921" s="6">
        <v>204005.58</v>
      </c>
      <c r="H921" s="6">
        <v>33.45</v>
      </c>
      <c r="I921" s="8">
        <v>36.03195965890456</v>
      </c>
      <c r="J921" s="6">
        <v>219722.89</v>
      </c>
      <c r="K921" s="6">
        <v>-15717.31</v>
      </c>
      <c r="L921" s="6">
        <v>-7.7</v>
      </c>
      <c r="M921" s="6">
        <f t="shared" si="1"/>
        <v>-2.577453263</v>
      </c>
      <c r="N921" s="6">
        <v>-7.7</v>
      </c>
      <c r="O921" s="7" t="s">
        <v>45</v>
      </c>
      <c r="P921" s="7" t="s">
        <v>46</v>
      </c>
      <c r="Q921" s="7" t="s">
        <v>25</v>
      </c>
      <c r="R921" s="10">
        <v>-17663.13</v>
      </c>
      <c r="S921" s="10">
        <v>1945.82</v>
      </c>
      <c r="T921" s="9" t="s">
        <v>33</v>
      </c>
      <c r="U921" s="9"/>
      <c r="V921" s="9"/>
      <c r="W921" s="9"/>
      <c r="X921" s="9"/>
      <c r="Y921" s="9"/>
      <c r="Z921" s="9"/>
      <c r="AA921" s="9"/>
      <c r="AB921" s="9"/>
    </row>
    <row r="922">
      <c r="A922" s="5">
        <v>42558.0</v>
      </c>
      <c r="B922" s="6">
        <v>2016.0</v>
      </c>
      <c r="C922" s="7" t="s">
        <v>76</v>
      </c>
      <c r="D922" s="7" t="s">
        <v>43</v>
      </c>
      <c r="E922" s="7" t="s">
        <v>35</v>
      </c>
      <c r="F922" s="6">
        <v>1654.0</v>
      </c>
      <c r="G922" s="6">
        <v>69579.07</v>
      </c>
      <c r="H922" s="6">
        <v>42.07</v>
      </c>
      <c r="I922" s="8">
        <v>36.033204353083434</v>
      </c>
      <c r="J922" s="6">
        <v>59598.92</v>
      </c>
      <c r="K922" s="6">
        <v>9980.15</v>
      </c>
      <c r="L922" s="6">
        <v>14.34</v>
      </c>
      <c r="M922" s="6">
        <f t="shared" si="1"/>
        <v>6.033948005</v>
      </c>
      <c r="N922" s="6">
        <v>14.34</v>
      </c>
      <c r="O922" s="7" t="s">
        <v>45</v>
      </c>
      <c r="P922" s="7" t="s">
        <v>46</v>
      </c>
      <c r="Q922" s="7" t="s">
        <v>25</v>
      </c>
      <c r="R922" s="10">
        <v>-15717.31</v>
      </c>
      <c r="S922" s="10">
        <v>25697.46</v>
      </c>
      <c r="T922" s="9" t="s">
        <v>33</v>
      </c>
      <c r="U922" s="9"/>
      <c r="V922" s="9"/>
      <c r="W922" s="9"/>
      <c r="X922" s="9"/>
      <c r="Y922" s="9"/>
      <c r="Z922" s="9"/>
      <c r="AA922" s="9"/>
      <c r="AB922" s="9"/>
    </row>
    <row r="923">
      <c r="A923" s="5">
        <v>42559.0</v>
      </c>
      <c r="B923" s="6">
        <v>2016.0</v>
      </c>
      <c r="C923" s="7" t="s">
        <v>76</v>
      </c>
      <c r="D923" s="7" t="s">
        <v>44</v>
      </c>
      <c r="E923" s="7" t="s">
        <v>37</v>
      </c>
      <c r="F923" s="6">
        <v>2073.0</v>
      </c>
      <c r="G923" s="6">
        <v>87184.74</v>
      </c>
      <c r="H923" s="6">
        <v>42.06</v>
      </c>
      <c r="I923" s="8">
        <v>36.012793053545586</v>
      </c>
      <c r="J923" s="6">
        <v>74654.52</v>
      </c>
      <c r="K923" s="6">
        <v>12530.22</v>
      </c>
      <c r="L923" s="6">
        <v>14.37</v>
      </c>
      <c r="M923" s="6">
        <f t="shared" si="1"/>
        <v>6.044486252</v>
      </c>
      <c r="N923" s="6">
        <v>14.37</v>
      </c>
      <c r="O923" s="7" t="s">
        <v>45</v>
      </c>
      <c r="P923" s="7" t="s">
        <v>46</v>
      </c>
      <c r="Q923" s="7" t="s">
        <v>25</v>
      </c>
      <c r="R923" s="10">
        <v>9980.15</v>
      </c>
      <c r="S923" s="10">
        <v>2550.07</v>
      </c>
      <c r="T923" s="9" t="s">
        <v>33</v>
      </c>
      <c r="U923" s="9"/>
      <c r="V923" s="9"/>
      <c r="W923" s="9"/>
      <c r="X923" s="9"/>
      <c r="Y923" s="9"/>
      <c r="Z923" s="9"/>
      <c r="AA923" s="9"/>
      <c r="AB923" s="9"/>
    </row>
    <row r="924">
      <c r="A924" s="5">
        <v>42560.0</v>
      </c>
      <c r="B924" s="6">
        <v>2016.0</v>
      </c>
      <c r="C924" s="7" t="s">
        <v>76</v>
      </c>
      <c r="D924" s="7" t="s">
        <v>47</v>
      </c>
      <c r="E924" s="7" t="s">
        <v>39</v>
      </c>
      <c r="F924" s="6">
        <v>1871.0</v>
      </c>
      <c r="G924" s="6">
        <v>78700.44</v>
      </c>
      <c r="H924" s="6">
        <v>42.06</v>
      </c>
      <c r="I924" s="8">
        <v>36.00608230892571</v>
      </c>
      <c r="J924" s="6">
        <v>67367.38</v>
      </c>
      <c r="K924" s="6">
        <v>11333.05</v>
      </c>
      <c r="L924" s="6">
        <v>14.4</v>
      </c>
      <c r="M924" s="6">
        <f t="shared" si="1"/>
        <v>6.057215393</v>
      </c>
      <c r="N924" s="6">
        <v>14.4</v>
      </c>
      <c r="O924" s="7" t="s">
        <v>45</v>
      </c>
      <c r="P924" s="7" t="s">
        <v>46</v>
      </c>
      <c r="Q924" s="7" t="s">
        <v>25</v>
      </c>
      <c r="R924" s="10">
        <v>12530.22</v>
      </c>
      <c r="S924" s="10">
        <v>-1197.17</v>
      </c>
      <c r="T924" s="9" t="s">
        <v>29</v>
      </c>
      <c r="U924" s="9"/>
      <c r="V924" s="9"/>
      <c r="W924" s="9"/>
      <c r="X924" s="9"/>
      <c r="Y924" s="9"/>
      <c r="Z924" s="9"/>
      <c r="AA924" s="9"/>
      <c r="AB924" s="9"/>
    </row>
    <row r="925">
      <c r="A925" s="5">
        <v>42561.0</v>
      </c>
      <c r="B925" s="6">
        <v>2016.0</v>
      </c>
      <c r="C925" s="7" t="s">
        <v>76</v>
      </c>
      <c r="D925" s="7" t="s">
        <v>48</v>
      </c>
      <c r="E925" s="7" t="s">
        <v>41</v>
      </c>
      <c r="F925" s="6">
        <v>946.0</v>
      </c>
      <c r="G925" s="6">
        <v>39809.56</v>
      </c>
      <c r="H925" s="6">
        <v>42.08</v>
      </c>
      <c r="I925" s="8">
        <v>36.03760042283298</v>
      </c>
      <c r="J925" s="6">
        <v>34091.57</v>
      </c>
      <c r="K925" s="6">
        <v>5717.99</v>
      </c>
      <c r="L925" s="6">
        <v>14.36</v>
      </c>
      <c r="M925" s="6">
        <f t="shared" si="1"/>
        <v>6.044386892</v>
      </c>
      <c r="N925" s="6">
        <v>14.36</v>
      </c>
      <c r="O925" s="7" t="s">
        <v>45</v>
      </c>
      <c r="P925" s="7" t="s">
        <v>46</v>
      </c>
      <c r="Q925" s="7" t="s">
        <v>25</v>
      </c>
      <c r="R925" s="10">
        <v>11333.05</v>
      </c>
      <c r="S925" s="10">
        <v>-5615.06</v>
      </c>
      <c r="T925" s="9" t="s">
        <v>29</v>
      </c>
      <c r="U925" s="9"/>
      <c r="V925" s="9"/>
      <c r="W925" s="9"/>
      <c r="X925" s="9"/>
      <c r="Y925" s="9"/>
      <c r="Z925" s="9"/>
      <c r="AA925" s="9"/>
      <c r="AB925" s="9"/>
    </row>
    <row r="926">
      <c r="A926" s="5">
        <v>42562.0</v>
      </c>
      <c r="B926" s="6">
        <v>2016.0</v>
      </c>
      <c r="C926" s="7" t="s">
        <v>76</v>
      </c>
      <c r="D926" s="7" t="s">
        <v>49</v>
      </c>
      <c r="E926" s="7" t="s">
        <v>22</v>
      </c>
      <c r="F926" s="6">
        <v>1090.0</v>
      </c>
      <c r="G926" s="6">
        <v>45839.24</v>
      </c>
      <c r="H926" s="6">
        <v>42.05</v>
      </c>
      <c r="I926" s="8">
        <v>35.99192660550458</v>
      </c>
      <c r="J926" s="6">
        <v>39231.2</v>
      </c>
      <c r="K926" s="6">
        <v>6608.04</v>
      </c>
      <c r="L926" s="6">
        <v>14.42</v>
      </c>
      <c r="M926" s="6">
        <f t="shared" si="1"/>
        <v>6.062422018</v>
      </c>
      <c r="N926" s="6">
        <v>14.42</v>
      </c>
      <c r="O926" s="7" t="s">
        <v>45</v>
      </c>
      <c r="P926" s="7" t="s">
        <v>46</v>
      </c>
      <c r="Q926" s="7" t="s">
        <v>25</v>
      </c>
      <c r="R926" s="10">
        <v>5717.99</v>
      </c>
      <c r="S926" s="10">
        <v>890.05</v>
      </c>
      <c r="T926" s="9" t="s">
        <v>33</v>
      </c>
      <c r="U926" s="9"/>
      <c r="V926" s="9"/>
      <c r="W926" s="9"/>
      <c r="X926" s="9"/>
      <c r="Y926" s="9"/>
      <c r="Z926" s="9"/>
      <c r="AA926" s="9"/>
      <c r="AB926" s="9"/>
    </row>
    <row r="927">
      <c r="A927" s="5">
        <v>42563.0</v>
      </c>
      <c r="B927" s="6">
        <v>2016.0</v>
      </c>
      <c r="C927" s="7" t="s">
        <v>76</v>
      </c>
      <c r="D927" s="7" t="s">
        <v>50</v>
      </c>
      <c r="E927" s="7" t="s">
        <v>28</v>
      </c>
      <c r="F927" s="6">
        <v>876.0</v>
      </c>
      <c r="G927" s="6">
        <v>36851.76</v>
      </c>
      <c r="H927" s="6">
        <v>42.07</v>
      </c>
      <c r="I927" s="8">
        <v>36.04375570776256</v>
      </c>
      <c r="J927" s="6">
        <v>31574.33</v>
      </c>
      <c r="K927" s="6">
        <v>5277.44</v>
      </c>
      <c r="L927" s="6">
        <v>14.32</v>
      </c>
      <c r="M927" s="6">
        <f t="shared" si="1"/>
        <v>6.024474886</v>
      </c>
      <c r="N927" s="6">
        <v>14.32</v>
      </c>
      <c r="O927" s="7" t="s">
        <v>45</v>
      </c>
      <c r="P927" s="7" t="s">
        <v>46</v>
      </c>
      <c r="Q927" s="7" t="s">
        <v>25</v>
      </c>
      <c r="R927" s="10">
        <v>6608.04</v>
      </c>
      <c r="S927" s="10">
        <v>-1330.61</v>
      </c>
      <c r="T927" s="9" t="s">
        <v>29</v>
      </c>
      <c r="U927" s="9"/>
      <c r="V927" s="9"/>
      <c r="W927" s="9"/>
      <c r="X927" s="9"/>
      <c r="Y927" s="9"/>
      <c r="Z927" s="9"/>
      <c r="AA927" s="9"/>
      <c r="AB927" s="9"/>
    </row>
    <row r="928">
      <c r="A928" s="5">
        <v>42564.0</v>
      </c>
      <c r="B928" s="6">
        <v>2016.0</v>
      </c>
      <c r="C928" s="7" t="s">
        <v>76</v>
      </c>
      <c r="D928" s="7" t="s">
        <v>51</v>
      </c>
      <c r="E928" s="7" t="s">
        <v>32</v>
      </c>
      <c r="F928" s="6">
        <v>790.0</v>
      </c>
      <c r="G928" s="6">
        <v>33225.67</v>
      </c>
      <c r="H928" s="6">
        <v>42.06</v>
      </c>
      <c r="I928" s="8">
        <v>36.06212658227848</v>
      </c>
      <c r="J928" s="6">
        <v>28489.08</v>
      </c>
      <c r="K928" s="6">
        <v>4736.59</v>
      </c>
      <c r="L928" s="6">
        <v>14.26</v>
      </c>
      <c r="M928" s="6">
        <f t="shared" si="1"/>
        <v>5.995683544</v>
      </c>
      <c r="N928" s="6">
        <v>14.26</v>
      </c>
      <c r="O928" s="7" t="s">
        <v>45</v>
      </c>
      <c r="P928" s="7" t="s">
        <v>46</v>
      </c>
      <c r="Q928" s="7" t="s">
        <v>25</v>
      </c>
      <c r="R928" s="10">
        <v>5277.44</v>
      </c>
      <c r="S928" s="10">
        <v>-540.85</v>
      </c>
      <c r="T928" s="9" t="s">
        <v>29</v>
      </c>
      <c r="U928" s="9"/>
      <c r="V928" s="9"/>
      <c r="W928" s="9"/>
      <c r="X928" s="9"/>
      <c r="Y928" s="9"/>
      <c r="Z928" s="9"/>
      <c r="AA928" s="9"/>
      <c r="AB928" s="9"/>
    </row>
    <row r="929">
      <c r="A929" s="5">
        <v>42565.0</v>
      </c>
      <c r="B929" s="6">
        <v>2016.0</v>
      </c>
      <c r="C929" s="7" t="s">
        <v>76</v>
      </c>
      <c r="D929" s="7" t="s">
        <v>52</v>
      </c>
      <c r="E929" s="7" t="s">
        <v>35</v>
      </c>
      <c r="F929" s="6">
        <v>723.0</v>
      </c>
      <c r="G929" s="6">
        <v>30423.39</v>
      </c>
      <c r="H929" s="6">
        <v>42.08</v>
      </c>
      <c r="I929" s="8">
        <v>36.0356846473029</v>
      </c>
      <c r="J929" s="6">
        <v>26053.8</v>
      </c>
      <c r="K929" s="6">
        <v>4369.59</v>
      </c>
      <c r="L929" s="6">
        <v>14.36</v>
      </c>
      <c r="M929" s="6">
        <f t="shared" si="1"/>
        <v>6.043692946</v>
      </c>
      <c r="N929" s="6">
        <v>14.36</v>
      </c>
      <c r="O929" s="7" t="s">
        <v>45</v>
      </c>
      <c r="P929" s="7" t="s">
        <v>46</v>
      </c>
      <c r="Q929" s="7" t="s">
        <v>25</v>
      </c>
      <c r="R929" s="10">
        <v>4736.59</v>
      </c>
      <c r="S929" s="10">
        <v>-366.99</v>
      </c>
      <c r="T929" s="9" t="s">
        <v>29</v>
      </c>
      <c r="U929" s="9"/>
      <c r="V929" s="9"/>
      <c r="W929" s="9"/>
      <c r="X929" s="9"/>
      <c r="Y929" s="9"/>
      <c r="Z929" s="9"/>
      <c r="AA929" s="9"/>
      <c r="AB929" s="9"/>
    </row>
    <row r="930">
      <c r="A930" s="5">
        <v>42566.0</v>
      </c>
      <c r="B930" s="6">
        <v>2016.0</v>
      </c>
      <c r="C930" s="7" t="s">
        <v>76</v>
      </c>
      <c r="D930" s="7" t="s">
        <v>53</v>
      </c>
      <c r="E930" s="7" t="s">
        <v>37</v>
      </c>
      <c r="F930" s="6">
        <v>1910.0</v>
      </c>
      <c r="G930" s="6">
        <v>80345.64</v>
      </c>
      <c r="H930" s="6">
        <v>42.07</v>
      </c>
      <c r="I930" s="8">
        <v>36.01470680628272</v>
      </c>
      <c r="J930" s="6">
        <v>68788.09</v>
      </c>
      <c r="K930" s="6">
        <v>11557.54</v>
      </c>
      <c r="L930" s="6">
        <v>14.38</v>
      </c>
      <c r="M930" s="6">
        <f t="shared" si="1"/>
        <v>6.051068063</v>
      </c>
      <c r="N930" s="6">
        <v>14.38</v>
      </c>
      <c r="O930" s="7" t="s">
        <v>45</v>
      </c>
      <c r="P930" s="7" t="s">
        <v>46</v>
      </c>
      <c r="Q930" s="7" t="s">
        <v>25</v>
      </c>
      <c r="R930" s="10">
        <v>4369.59</v>
      </c>
      <c r="S930" s="10">
        <v>7187.95</v>
      </c>
      <c r="T930" s="9" t="s">
        <v>33</v>
      </c>
      <c r="U930" s="9"/>
      <c r="V930" s="9"/>
      <c r="W930" s="9"/>
      <c r="X930" s="9"/>
      <c r="Y930" s="9"/>
      <c r="Z930" s="9"/>
      <c r="AA930" s="9"/>
      <c r="AB930" s="9"/>
    </row>
    <row r="931">
      <c r="A931" s="5">
        <v>42567.0</v>
      </c>
      <c r="B931" s="6">
        <v>2016.0</v>
      </c>
      <c r="C931" s="7" t="s">
        <v>76</v>
      </c>
      <c r="D931" s="7" t="s">
        <v>54</v>
      </c>
      <c r="E931" s="7" t="s">
        <v>39</v>
      </c>
      <c r="F931" s="6">
        <v>2266.0</v>
      </c>
      <c r="G931" s="6">
        <v>95297.34</v>
      </c>
      <c r="H931" s="6">
        <v>42.06</v>
      </c>
      <c r="I931" s="8">
        <v>36.035242718446604</v>
      </c>
      <c r="J931" s="6">
        <v>81655.86</v>
      </c>
      <c r="K931" s="6">
        <v>13641.48</v>
      </c>
      <c r="L931" s="6">
        <v>14.31</v>
      </c>
      <c r="M931" s="6">
        <f t="shared" si="1"/>
        <v>6.020070609</v>
      </c>
      <c r="N931" s="6">
        <v>14.31</v>
      </c>
      <c r="O931" s="7" t="s">
        <v>45</v>
      </c>
      <c r="P931" s="7" t="s">
        <v>46</v>
      </c>
      <c r="Q931" s="7" t="s">
        <v>25</v>
      </c>
      <c r="R931" s="10">
        <v>11557.54</v>
      </c>
      <c r="S931" s="10">
        <v>2083.94</v>
      </c>
      <c r="T931" s="9" t="s">
        <v>33</v>
      </c>
      <c r="U931" s="9"/>
      <c r="V931" s="9"/>
      <c r="W931" s="9"/>
      <c r="X931" s="9"/>
      <c r="Y931" s="9"/>
      <c r="Z931" s="9"/>
      <c r="AA931" s="9"/>
      <c r="AB931" s="9"/>
    </row>
    <row r="932">
      <c r="A932" s="5">
        <v>42568.0</v>
      </c>
      <c r="B932" s="6">
        <v>2016.0</v>
      </c>
      <c r="C932" s="7" t="s">
        <v>76</v>
      </c>
      <c r="D932" s="7" t="s">
        <v>55</v>
      </c>
      <c r="E932" s="7" t="s">
        <v>41</v>
      </c>
      <c r="F932" s="6">
        <v>1078.0</v>
      </c>
      <c r="G932" s="6">
        <v>45324.05</v>
      </c>
      <c r="H932" s="6">
        <v>42.04</v>
      </c>
      <c r="I932" s="8">
        <v>36.00167903525046</v>
      </c>
      <c r="J932" s="6">
        <v>38809.81</v>
      </c>
      <c r="K932" s="6">
        <v>6514.25</v>
      </c>
      <c r="L932" s="6">
        <v>14.37</v>
      </c>
      <c r="M932" s="6">
        <f t="shared" si="1"/>
        <v>6.042903525</v>
      </c>
      <c r="N932" s="6">
        <v>14.37</v>
      </c>
      <c r="O932" s="7" t="s">
        <v>45</v>
      </c>
      <c r="P932" s="7" t="s">
        <v>46</v>
      </c>
      <c r="Q932" s="7" t="s">
        <v>25</v>
      </c>
      <c r="R932" s="10">
        <v>13641.48</v>
      </c>
      <c r="S932" s="10">
        <v>-7127.24</v>
      </c>
      <c r="T932" s="9" t="s">
        <v>29</v>
      </c>
      <c r="U932" s="9"/>
      <c r="V932" s="9"/>
      <c r="W932" s="9"/>
      <c r="X932" s="9"/>
      <c r="Y932" s="9"/>
      <c r="Z932" s="9"/>
      <c r="AA932" s="9"/>
      <c r="AB932" s="9"/>
    </row>
    <row r="933">
      <c r="A933" s="5">
        <v>42569.0</v>
      </c>
      <c r="B933" s="6">
        <v>2016.0</v>
      </c>
      <c r="C933" s="7" t="s">
        <v>76</v>
      </c>
      <c r="D933" s="7" t="s">
        <v>56</v>
      </c>
      <c r="E933" s="7" t="s">
        <v>22</v>
      </c>
      <c r="F933" s="6">
        <v>1227.0</v>
      </c>
      <c r="G933" s="6">
        <v>51604.12</v>
      </c>
      <c r="H933" s="6">
        <v>42.06</v>
      </c>
      <c r="I933" s="8">
        <v>36.04138549307253</v>
      </c>
      <c r="J933" s="6">
        <v>44222.78</v>
      </c>
      <c r="K933" s="6">
        <v>7381.33</v>
      </c>
      <c r="L933" s="6">
        <v>14.3</v>
      </c>
      <c r="M933" s="6">
        <f t="shared" si="1"/>
        <v>6.015753871</v>
      </c>
      <c r="N933" s="6">
        <v>14.3</v>
      </c>
      <c r="O933" s="7" t="s">
        <v>45</v>
      </c>
      <c r="P933" s="7" t="s">
        <v>46</v>
      </c>
      <c r="Q933" s="7" t="s">
        <v>25</v>
      </c>
      <c r="R933" s="10">
        <v>6514.25</v>
      </c>
      <c r="S933" s="10">
        <v>867.09</v>
      </c>
      <c r="T933" s="9" t="s">
        <v>33</v>
      </c>
      <c r="U933" s="9"/>
      <c r="V933" s="9"/>
      <c r="W933" s="9"/>
      <c r="X933" s="9"/>
      <c r="Y933" s="9"/>
      <c r="Z933" s="9"/>
      <c r="AA933" s="9"/>
      <c r="AB933" s="9"/>
    </row>
    <row r="934">
      <c r="A934" s="5">
        <v>42570.0</v>
      </c>
      <c r="B934" s="6">
        <v>2016.0</v>
      </c>
      <c r="C934" s="7" t="s">
        <v>76</v>
      </c>
      <c r="D934" s="7" t="s">
        <v>57</v>
      </c>
      <c r="E934" s="7" t="s">
        <v>28</v>
      </c>
      <c r="F934" s="6">
        <v>900.0</v>
      </c>
      <c r="G934" s="6">
        <v>37870.12</v>
      </c>
      <c r="H934" s="6">
        <v>42.08</v>
      </c>
      <c r="I934" s="8">
        <v>36.04088888888889</v>
      </c>
      <c r="J934" s="6">
        <v>32436.8</v>
      </c>
      <c r="K934" s="6">
        <v>5433.32</v>
      </c>
      <c r="L934" s="6">
        <v>14.35</v>
      </c>
      <c r="M934" s="6">
        <f t="shared" si="1"/>
        <v>6.037022222</v>
      </c>
      <c r="N934" s="6">
        <v>14.35</v>
      </c>
      <c r="O934" s="7" t="s">
        <v>45</v>
      </c>
      <c r="P934" s="7" t="s">
        <v>46</v>
      </c>
      <c r="Q934" s="7" t="s">
        <v>25</v>
      </c>
      <c r="R934" s="10">
        <v>7381.33</v>
      </c>
      <c r="S934" s="10">
        <v>-1948.01</v>
      </c>
      <c r="T934" s="9" t="s">
        <v>29</v>
      </c>
      <c r="U934" s="9"/>
      <c r="V934" s="9"/>
      <c r="W934" s="9"/>
      <c r="X934" s="9"/>
      <c r="Y934" s="9"/>
      <c r="Z934" s="9"/>
      <c r="AA934" s="9"/>
      <c r="AB934" s="9"/>
    </row>
    <row r="935">
      <c r="A935" s="5">
        <v>42571.0</v>
      </c>
      <c r="B935" s="6">
        <v>2016.0</v>
      </c>
      <c r="C935" s="7" t="s">
        <v>76</v>
      </c>
      <c r="D935" s="7" t="s">
        <v>58</v>
      </c>
      <c r="E935" s="7" t="s">
        <v>32</v>
      </c>
      <c r="F935" s="6">
        <v>1016.0</v>
      </c>
      <c r="G935" s="6">
        <v>42723.52</v>
      </c>
      <c r="H935" s="6">
        <v>42.05</v>
      </c>
      <c r="I935" s="8">
        <v>36.03089566929134</v>
      </c>
      <c r="J935" s="6">
        <v>36607.39</v>
      </c>
      <c r="K935" s="6">
        <v>6116.13</v>
      </c>
      <c r="L935" s="6">
        <v>14.32</v>
      </c>
      <c r="M935" s="6">
        <f t="shared" si="1"/>
        <v>6.019812992</v>
      </c>
      <c r="N935" s="6">
        <v>14.32</v>
      </c>
      <c r="O935" s="7" t="s">
        <v>45</v>
      </c>
      <c r="P935" s="7" t="s">
        <v>46</v>
      </c>
      <c r="Q935" s="7" t="s">
        <v>25</v>
      </c>
      <c r="R935" s="10">
        <v>5433.32</v>
      </c>
      <c r="S935" s="10">
        <v>682.81</v>
      </c>
      <c r="T935" s="9" t="s">
        <v>33</v>
      </c>
      <c r="U935" s="9"/>
      <c r="V935" s="9"/>
      <c r="W935" s="9"/>
      <c r="X935" s="9"/>
      <c r="Y935" s="9"/>
      <c r="Z935" s="9"/>
      <c r="AA935" s="9"/>
      <c r="AB935" s="9"/>
    </row>
    <row r="936">
      <c r="A936" s="5">
        <v>42572.0</v>
      </c>
      <c r="B936" s="6">
        <v>2016.0</v>
      </c>
      <c r="C936" s="7" t="s">
        <v>76</v>
      </c>
      <c r="D936" s="7" t="s">
        <v>59</v>
      </c>
      <c r="E936" s="7" t="s">
        <v>35</v>
      </c>
      <c r="F936" s="6">
        <v>836.0</v>
      </c>
      <c r="G936" s="6">
        <v>35169.92</v>
      </c>
      <c r="H936" s="6">
        <v>42.07</v>
      </c>
      <c r="I936" s="8">
        <v>36.04464114832536</v>
      </c>
      <c r="J936" s="6">
        <v>30133.32</v>
      </c>
      <c r="K936" s="6">
        <v>5036.6</v>
      </c>
      <c r="L936" s="6">
        <v>14.32</v>
      </c>
      <c r="M936" s="6">
        <f t="shared" si="1"/>
        <v>6.024641148</v>
      </c>
      <c r="N936" s="6">
        <v>14.32</v>
      </c>
      <c r="O936" s="7" t="s">
        <v>45</v>
      </c>
      <c r="P936" s="7" t="s">
        <v>46</v>
      </c>
      <c r="Q936" s="7" t="s">
        <v>25</v>
      </c>
      <c r="R936" s="10">
        <v>6116.13</v>
      </c>
      <c r="S936" s="10">
        <v>-1079.54</v>
      </c>
      <c r="T936" s="9" t="s">
        <v>29</v>
      </c>
      <c r="U936" s="9"/>
      <c r="V936" s="9"/>
      <c r="W936" s="9"/>
      <c r="X936" s="9"/>
      <c r="Y936" s="9"/>
      <c r="Z936" s="9"/>
      <c r="AA936" s="9"/>
      <c r="AB936" s="9"/>
    </row>
    <row r="937">
      <c r="A937" s="5">
        <v>42573.0</v>
      </c>
      <c r="B937" s="6">
        <v>2016.0</v>
      </c>
      <c r="C937" s="7" t="s">
        <v>76</v>
      </c>
      <c r="D937" s="7" t="s">
        <v>60</v>
      </c>
      <c r="E937" s="7" t="s">
        <v>37</v>
      </c>
      <c r="F937" s="6">
        <v>1454.0</v>
      </c>
      <c r="G937" s="6">
        <v>61148.21</v>
      </c>
      <c r="H937" s="6">
        <v>42.06</v>
      </c>
      <c r="I937" s="8">
        <v>36.02781980742778</v>
      </c>
      <c r="J937" s="6">
        <v>52384.45</v>
      </c>
      <c r="K937" s="6">
        <v>8763.76</v>
      </c>
      <c r="L937" s="6">
        <v>14.33</v>
      </c>
      <c r="M937" s="6">
        <f t="shared" si="1"/>
        <v>6.027345254</v>
      </c>
      <c r="N937" s="6">
        <v>14.33</v>
      </c>
      <c r="O937" s="7" t="s">
        <v>45</v>
      </c>
      <c r="P937" s="7" t="s">
        <v>46</v>
      </c>
      <c r="Q937" s="7" t="s">
        <v>25</v>
      </c>
      <c r="R937" s="10">
        <v>5036.6</v>
      </c>
      <c r="S937" s="10">
        <v>3727.16</v>
      </c>
      <c r="T937" s="9" t="s">
        <v>33</v>
      </c>
      <c r="U937" s="9"/>
      <c r="V937" s="9"/>
      <c r="W937" s="9"/>
      <c r="X937" s="9"/>
      <c r="Y937" s="9"/>
      <c r="Z937" s="9"/>
      <c r="AA937" s="9"/>
      <c r="AB937" s="9"/>
    </row>
    <row r="938">
      <c r="A938" s="5">
        <v>42574.0</v>
      </c>
      <c r="B938" s="6">
        <v>2016.0</v>
      </c>
      <c r="C938" s="7" t="s">
        <v>76</v>
      </c>
      <c r="D938" s="7" t="s">
        <v>61</v>
      </c>
      <c r="E938" s="7" t="s">
        <v>39</v>
      </c>
      <c r="F938" s="6">
        <v>1835.0</v>
      </c>
      <c r="G938" s="6">
        <v>77171.7</v>
      </c>
      <c r="H938" s="6">
        <v>42.06</v>
      </c>
      <c r="I938" s="8">
        <v>36.02933514986376</v>
      </c>
      <c r="J938" s="6">
        <v>66113.83</v>
      </c>
      <c r="K938" s="6">
        <v>11057.87</v>
      </c>
      <c r="L938" s="6">
        <v>14.33</v>
      </c>
      <c r="M938" s="6">
        <f t="shared" si="1"/>
        <v>6.026087193</v>
      </c>
      <c r="N938" s="6">
        <v>14.33</v>
      </c>
      <c r="O938" s="7" t="s">
        <v>45</v>
      </c>
      <c r="P938" s="7" t="s">
        <v>46</v>
      </c>
      <c r="Q938" s="7" t="s">
        <v>25</v>
      </c>
      <c r="R938" s="10">
        <v>8763.76</v>
      </c>
      <c r="S938" s="10">
        <v>2294.11</v>
      </c>
      <c r="T938" s="9" t="s">
        <v>33</v>
      </c>
      <c r="U938" s="9"/>
      <c r="V938" s="9"/>
      <c r="W938" s="9"/>
      <c r="X938" s="9"/>
      <c r="Y938" s="9"/>
      <c r="Z938" s="9"/>
      <c r="AA938" s="9"/>
      <c r="AB938" s="9"/>
    </row>
    <row r="939">
      <c r="A939" s="5">
        <v>42575.0</v>
      </c>
      <c r="B939" s="6">
        <v>2016.0</v>
      </c>
      <c r="C939" s="7" t="s">
        <v>76</v>
      </c>
      <c r="D939" s="7" t="s">
        <v>62</v>
      </c>
      <c r="E939" s="7" t="s">
        <v>41</v>
      </c>
      <c r="F939" s="6">
        <v>972.0</v>
      </c>
      <c r="G939" s="6">
        <v>40881.35</v>
      </c>
      <c r="H939" s="6">
        <v>42.06</v>
      </c>
      <c r="I939" s="8">
        <v>36.027890946502055</v>
      </c>
      <c r="J939" s="6">
        <v>35019.11</v>
      </c>
      <c r="K939" s="6">
        <v>5862.24</v>
      </c>
      <c r="L939" s="6">
        <v>14.34</v>
      </c>
      <c r="M939" s="6">
        <f t="shared" si="1"/>
        <v>6.031111111</v>
      </c>
      <c r="N939" s="6">
        <v>14.34</v>
      </c>
      <c r="O939" s="7" t="s">
        <v>45</v>
      </c>
      <c r="P939" s="7" t="s">
        <v>46</v>
      </c>
      <c r="Q939" s="7" t="s">
        <v>25</v>
      </c>
      <c r="R939" s="10">
        <v>11057.87</v>
      </c>
      <c r="S939" s="10">
        <v>-5195.63</v>
      </c>
      <c r="T939" s="9" t="s">
        <v>29</v>
      </c>
      <c r="U939" s="9"/>
      <c r="V939" s="9"/>
      <c r="W939" s="9"/>
      <c r="X939" s="9"/>
      <c r="Y939" s="9"/>
      <c r="Z939" s="9"/>
      <c r="AA939" s="9"/>
      <c r="AB939" s="9"/>
    </row>
    <row r="940">
      <c r="A940" s="5">
        <v>42576.0</v>
      </c>
      <c r="B940" s="6">
        <v>2016.0</v>
      </c>
      <c r="C940" s="7" t="s">
        <v>76</v>
      </c>
      <c r="D940" s="7" t="s">
        <v>63</v>
      </c>
      <c r="E940" s="7" t="s">
        <v>22</v>
      </c>
      <c r="F940" s="6">
        <v>1024.0</v>
      </c>
      <c r="G940" s="6">
        <v>43085.6</v>
      </c>
      <c r="H940" s="6">
        <v>42.08</v>
      </c>
      <c r="I940" s="8">
        <v>36.022822265625</v>
      </c>
      <c r="J940" s="6">
        <v>36887.37</v>
      </c>
      <c r="K940" s="6">
        <v>6198.23</v>
      </c>
      <c r="L940" s="6">
        <v>14.39</v>
      </c>
      <c r="M940" s="6">
        <f t="shared" si="1"/>
        <v>6.052958984</v>
      </c>
      <c r="N940" s="6">
        <v>14.39</v>
      </c>
      <c r="O940" s="7" t="s">
        <v>45</v>
      </c>
      <c r="P940" s="7" t="s">
        <v>46</v>
      </c>
      <c r="Q940" s="7" t="s">
        <v>25</v>
      </c>
      <c r="R940" s="10">
        <v>5862.24</v>
      </c>
      <c r="S940" s="10">
        <v>335.99</v>
      </c>
      <c r="T940" s="9" t="s">
        <v>33</v>
      </c>
      <c r="U940" s="9"/>
      <c r="V940" s="9"/>
      <c r="W940" s="9"/>
      <c r="X940" s="9"/>
      <c r="Y940" s="9"/>
      <c r="Z940" s="9"/>
      <c r="AA940" s="9"/>
      <c r="AB940" s="9"/>
    </row>
    <row r="941">
      <c r="A941" s="5">
        <v>42577.0</v>
      </c>
      <c r="B941" s="6">
        <v>2016.0</v>
      </c>
      <c r="C941" s="7" t="s">
        <v>76</v>
      </c>
      <c r="D941" s="7" t="s">
        <v>64</v>
      </c>
      <c r="E941" s="7" t="s">
        <v>28</v>
      </c>
      <c r="F941" s="6">
        <v>1044.0</v>
      </c>
      <c r="G941" s="6">
        <v>43894.99</v>
      </c>
      <c r="H941" s="6">
        <v>42.05</v>
      </c>
      <c r="I941" s="8">
        <v>36.01978927203066</v>
      </c>
      <c r="J941" s="6">
        <v>37604.66</v>
      </c>
      <c r="K941" s="6">
        <v>6290.34</v>
      </c>
      <c r="L941" s="6">
        <v>14.33</v>
      </c>
      <c r="M941" s="6">
        <f t="shared" si="1"/>
        <v>6.025229885</v>
      </c>
      <c r="N941" s="6">
        <v>14.33</v>
      </c>
      <c r="O941" s="7" t="s">
        <v>45</v>
      </c>
      <c r="P941" s="7" t="s">
        <v>46</v>
      </c>
      <c r="Q941" s="7" t="s">
        <v>25</v>
      </c>
      <c r="R941" s="10">
        <v>6198.23</v>
      </c>
      <c r="S941" s="10">
        <v>92.11</v>
      </c>
      <c r="T941" s="9" t="s">
        <v>33</v>
      </c>
      <c r="U941" s="9"/>
      <c r="V941" s="9"/>
      <c r="W941" s="9"/>
      <c r="X941" s="9"/>
      <c r="Y941" s="9"/>
      <c r="Z941" s="9"/>
      <c r="AA941" s="9"/>
      <c r="AB941" s="9"/>
    </row>
    <row r="942">
      <c r="A942" s="5">
        <v>42578.0</v>
      </c>
      <c r="B942" s="6">
        <v>2016.0</v>
      </c>
      <c r="C942" s="7" t="s">
        <v>76</v>
      </c>
      <c r="D942" s="7" t="s">
        <v>65</v>
      </c>
      <c r="E942" s="7" t="s">
        <v>32</v>
      </c>
      <c r="F942" s="6">
        <v>1611.0</v>
      </c>
      <c r="G942" s="6">
        <v>67780.73</v>
      </c>
      <c r="H942" s="6">
        <v>42.07</v>
      </c>
      <c r="I942" s="8">
        <v>36.12423960273122</v>
      </c>
      <c r="J942" s="6">
        <v>58196.15</v>
      </c>
      <c r="K942" s="6">
        <v>9584.58</v>
      </c>
      <c r="L942" s="6">
        <v>14.14</v>
      </c>
      <c r="M942" s="6">
        <f t="shared" si="1"/>
        <v>5.949459963</v>
      </c>
      <c r="N942" s="6">
        <v>14.14</v>
      </c>
      <c r="O942" s="7" t="s">
        <v>45</v>
      </c>
      <c r="P942" s="7" t="s">
        <v>46</v>
      </c>
      <c r="Q942" s="7" t="s">
        <v>25</v>
      </c>
      <c r="R942" s="10">
        <v>6290.34</v>
      </c>
      <c r="S942" s="10">
        <v>3294.25</v>
      </c>
      <c r="T942" s="9" t="s">
        <v>33</v>
      </c>
      <c r="U942" s="9"/>
      <c r="V942" s="9"/>
      <c r="W942" s="9"/>
      <c r="X942" s="9"/>
      <c r="Y942" s="9"/>
      <c r="Z942" s="9"/>
      <c r="AA942" s="9"/>
      <c r="AB942" s="9"/>
    </row>
    <row r="943">
      <c r="A943" s="5">
        <v>42579.0</v>
      </c>
      <c r="B943" s="6">
        <v>2016.0</v>
      </c>
      <c r="C943" s="7" t="s">
        <v>76</v>
      </c>
      <c r="D943" s="7" t="s">
        <v>66</v>
      </c>
      <c r="E943" s="7" t="s">
        <v>35</v>
      </c>
      <c r="F943" s="6">
        <v>1234.0</v>
      </c>
      <c r="G943" s="6">
        <v>51907.94</v>
      </c>
      <c r="H943" s="6">
        <v>42.06</v>
      </c>
      <c r="I943" s="8">
        <v>36.09775526742301</v>
      </c>
      <c r="J943" s="6">
        <v>44544.63</v>
      </c>
      <c r="K943" s="6">
        <v>7363.31</v>
      </c>
      <c r="L943" s="6">
        <v>14.19</v>
      </c>
      <c r="M943" s="6">
        <f t="shared" si="1"/>
        <v>5.967025932</v>
      </c>
      <c r="N943" s="6">
        <v>14.19</v>
      </c>
      <c r="O943" s="7" t="s">
        <v>45</v>
      </c>
      <c r="P943" s="7" t="s">
        <v>46</v>
      </c>
      <c r="Q943" s="7" t="s">
        <v>25</v>
      </c>
      <c r="R943" s="10">
        <v>9584.58</v>
      </c>
      <c r="S943" s="10">
        <v>-2221.27</v>
      </c>
      <c r="T943" s="9" t="s">
        <v>29</v>
      </c>
      <c r="U943" s="9"/>
      <c r="V943" s="9"/>
      <c r="W943" s="9"/>
      <c r="X943" s="9"/>
      <c r="Y943" s="9"/>
      <c r="Z943" s="9"/>
      <c r="AA943" s="9"/>
      <c r="AB943" s="9"/>
    </row>
    <row r="944">
      <c r="A944" s="5">
        <v>42580.0</v>
      </c>
      <c r="B944" s="6">
        <v>2016.0</v>
      </c>
      <c r="C944" s="7" t="s">
        <v>76</v>
      </c>
      <c r="D944" s="7" t="s">
        <v>67</v>
      </c>
      <c r="E944" s="7" t="s">
        <v>37</v>
      </c>
      <c r="F944" s="6">
        <v>2223.0</v>
      </c>
      <c r="G944" s="6">
        <v>93508.63</v>
      </c>
      <c r="H944" s="6">
        <v>42.06</v>
      </c>
      <c r="I944" s="8">
        <v>36.14336032388664</v>
      </c>
      <c r="J944" s="6">
        <v>80346.69</v>
      </c>
      <c r="K944" s="6">
        <v>13161.94</v>
      </c>
      <c r="L944" s="6">
        <v>14.08</v>
      </c>
      <c r="M944" s="6">
        <f t="shared" si="1"/>
        <v>5.92080072</v>
      </c>
      <c r="N944" s="6">
        <v>14.08</v>
      </c>
      <c r="O944" s="7" t="s">
        <v>45</v>
      </c>
      <c r="P944" s="7" t="s">
        <v>46</v>
      </c>
      <c r="Q944" s="7" t="s">
        <v>25</v>
      </c>
      <c r="R944" s="10">
        <v>7363.31</v>
      </c>
      <c r="S944" s="10">
        <v>5798.63</v>
      </c>
      <c r="T944" s="9" t="s">
        <v>33</v>
      </c>
      <c r="U944" s="9"/>
      <c r="V944" s="9"/>
      <c r="W944" s="9"/>
      <c r="X944" s="9"/>
      <c r="Y944" s="9"/>
      <c r="Z944" s="9"/>
      <c r="AA944" s="9"/>
      <c r="AB944" s="9"/>
    </row>
    <row r="945">
      <c r="A945" s="5">
        <v>42581.0</v>
      </c>
      <c r="B945" s="6">
        <v>2016.0</v>
      </c>
      <c r="C945" s="7" t="s">
        <v>76</v>
      </c>
      <c r="D945" s="7" t="s">
        <v>21</v>
      </c>
      <c r="E945" s="7" t="s">
        <v>39</v>
      </c>
      <c r="F945" s="6">
        <v>2267.0</v>
      </c>
      <c r="G945" s="6">
        <v>95343.6</v>
      </c>
      <c r="H945" s="6">
        <v>42.06</v>
      </c>
      <c r="I945" s="8">
        <v>36.11569916188795</v>
      </c>
      <c r="J945" s="6">
        <v>81874.29</v>
      </c>
      <c r="K945" s="6">
        <v>13469.31</v>
      </c>
      <c r="L945" s="6">
        <v>14.13</v>
      </c>
      <c r="M945" s="6">
        <f t="shared" si="1"/>
        <v>5.941468902</v>
      </c>
      <c r="N945" s="6">
        <v>14.13</v>
      </c>
      <c r="O945" s="7" t="s">
        <v>45</v>
      </c>
      <c r="P945" s="7" t="s">
        <v>46</v>
      </c>
      <c r="Q945" s="7" t="s">
        <v>25</v>
      </c>
      <c r="R945" s="10">
        <v>13161.94</v>
      </c>
      <c r="S945" s="10">
        <v>307.37</v>
      </c>
      <c r="T945" s="9" t="s">
        <v>33</v>
      </c>
      <c r="U945" s="9"/>
      <c r="V945" s="9"/>
      <c r="W945" s="9"/>
      <c r="X945" s="9"/>
      <c r="Y945" s="9"/>
      <c r="Z945" s="9"/>
      <c r="AA945" s="9"/>
      <c r="AB945" s="9"/>
    </row>
    <row r="946">
      <c r="A946" s="5">
        <v>42582.0</v>
      </c>
      <c r="B946" s="6">
        <v>2016.0</v>
      </c>
      <c r="C946" s="7" t="s">
        <v>76</v>
      </c>
      <c r="D946" s="7" t="s">
        <v>27</v>
      </c>
      <c r="E946" s="7" t="s">
        <v>41</v>
      </c>
      <c r="F946" s="6">
        <v>1415.0</v>
      </c>
      <c r="G946" s="6">
        <v>59514.99</v>
      </c>
      <c r="H946" s="6">
        <v>42.06</v>
      </c>
      <c r="I946" s="8">
        <v>36.14515901060071</v>
      </c>
      <c r="J946" s="6">
        <v>51145.4</v>
      </c>
      <c r="K946" s="6">
        <v>8369.59</v>
      </c>
      <c r="L946" s="6">
        <v>14.06</v>
      </c>
      <c r="M946" s="6">
        <f t="shared" si="1"/>
        <v>5.914904594</v>
      </c>
      <c r="N946" s="6">
        <v>14.06</v>
      </c>
      <c r="O946" s="7" t="s">
        <v>45</v>
      </c>
      <c r="P946" s="7" t="s">
        <v>46</v>
      </c>
      <c r="Q946" s="7" t="s">
        <v>25</v>
      </c>
      <c r="R946" s="10">
        <v>13469.31</v>
      </c>
      <c r="S946" s="10">
        <v>-5099.72</v>
      </c>
      <c r="T946" s="9" t="s">
        <v>29</v>
      </c>
      <c r="U946" s="9"/>
      <c r="V946" s="9"/>
      <c r="W946" s="9"/>
      <c r="X946" s="9"/>
      <c r="Y946" s="9"/>
      <c r="Z946" s="9"/>
      <c r="AA946" s="9"/>
      <c r="AB946" s="9"/>
    </row>
    <row r="947">
      <c r="A947" s="5">
        <v>42583.0</v>
      </c>
      <c r="B947" s="6">
        <v>2016.0</v>
      </c>
      <c r="C947" s="7" t="s">
        <v>77</v>
      </c>
      <c r="D947" s="7" t="s">
        <v>31</v>
      </c>
      <c r="E947" s="7" t="s">
        <v>22</v>
      </c>
      <c r="F947" s="6">
        <v>1548.0</v>
      </c>
      <c r="G947" s="6">
        <v>65133.97</v>
      </c>
      <c r="H947" s="6">
        <v>42.08</v>
      </c>
      <c r="I947" s="8">
        <v>36.14086563307493</v>
      </c>
      <c r="J947" s="6">
        <v>55946.06</v>
      </c>
      <c r="K947" s="6">
        <v>9187.91</v>
      </c>
      <c r="L947" s="6">
        <v>14.11</v>
      </c>
      <c r="M947" s="6">
        <f t="shared" si="1"/>
        <v>5.935342377</v>
      </c>
      <c r="N947" s="6">
        <v>14.11</v>
      </c>
      <c r="O947" s="7" t="s">
        <v>45</v>
      </c>
      <c r="P947" s="7" t="s">
        <v>46</v>
      </c>
      <c r="Q947" s="7" t="s">
        <v>25</v>
      </c>
      <c r="R947" s="10">
        <v>8369.59</v>
      </c>
      <c r="S947" s="10">
        <v>818.32</v>
      </c>
      <c r="T947" s="9" t="s">
        <v>33</v>
      </c>
      <c r="U947" s="9"/>
      <c r="V947" s="9"/>
      <c r="W947" s="9"/>
      <c r="X947" s="9"/>
      <c r="Y947" s="9"/>
      <c r="Z947" s="9"/>
      <c r="AA947" s="9"/>
      <c r="AB947" s="9"/>
    </row>
    <row r="948">
      <c r="A948" s="5">
        <v>42584.0</v>
      </c>
      <c r="B948" s="6">
        <v>2016.0</v>
      </c>
      <c r="C948" s="7" t="s">
        <v>77</v>
      </c>
      <c r="D948" s="7" t="s">
        <v>34</v>
      </c>
      <c r="E948" s="7" t="s">
        <v>28</v>
      </c>
      <c r="F948" s="6">
        <v>1679.0</v>
      </c>
      <c r="G948" s="6">
        <v>70641.25</v>
      </c>
      <c r="H948" s="6">
        <v>42.07</v>
      </c>
      <c r="I948" s="8">
        <v>36.110512209648604</v>
      </c>
      <c r="J948" s="6">
        <v>60629.55</v>
      </c>
      <c r="K948" s="6">
        <v>10011.7</v>
      </c>
      <c r="L948" s="6">
        <v>14.17</v>
      </c>
      <c r="M948" s="6">
        <f t="shared" si="1"/>
        <v>5.96289458</v>
      </c>
      <c r="N948" s="6">
        <v>14.17</v>
      </c>
      <c r="O948" s="7" t="s">
        <v>45</v>
      </c>
      <c r="P948" s="7" t="s">
        <v>46</v>
      </c>
      <c r="Q948" s="7" t="s">
        <v>25</v>
      </c>
      <c r="R948" s="10">
        <v>9187.91</v>
      </c>
      <c r="S948" s="10">
        <v>823.79</v>
      </c>
      <c r="T948" s="9" t="s">
        <v>33</v>
      </c>
      <c r="U948" s="9"/>
      <c r="V948" s="9"/>
      <c r="W948" s="9"/>
      <c r="X948" s="9"/>
      <c r="Y948" s="9"/>
      <c r="Z948" s="9"/>
      <c r="AA948" s="9"/>
      <c r="AB948" s="9"/>
    </row>
    <row r="949">
      <c r="A949" s="5">
        <v>42585.0</v>
      </c>
      <c r="B949" s="6">
        <v>2016.0</v>
      </c>
      <c r="C949" s="7" t="s">
        <v>77</v>
      </c>
      <c r="D949" s="7" t="s">
        <v>36</v>
      </c>
      <c r="E949" s="7" t="s">
        <v>32</v>
      </c>
      <c r="F949" s="6">
        <v>1152.0</v>
      </c>
      <c r="G949" s="6">
        <v>48442.17</v>
      </c>
      <c r="H949" s="6">
        <v>42.05</v>
      </c>
      <c r="I949" s="8">
        <v>36.12046875</v>
      </c>
      <c r="J949" s="6">
        <v>41610.78</v>
      </c>
      <c r="K949" s="6">
        <v>6831.39</v>
      </c>
      <c r="L949" s="6">
        <v>14.1</v>
      </c>
      <c r="M949" s="6">
        <f t="shared" si="1"/>
        <v>5.930026042</v>
      </c>
      <c r="N949" s="6">
        <v>14.1</v>
      </c>
      <c r="O949" s="7" t="s">
        <v>45</v>
      </c>
      <c r="P949" s="7" t="s">
        <v>46</v>
      </c>
      <c r="Q949" s="7" t="s">
        <v>25</v>
      </c>
      <c r="R949" s="10">
        <v>10011.7</v>
      </c>
      <c r="S949" s="10">
        <v>-3180.31</v>
      </c>
      <c r="T949" s="9" t="s">
        <v>29</v>
      </c>
      <c r="U949" s="9"/>
      <c r="V949" s="9"/>
      <c r="W949" s="9"/>
      <c r="X949" s="9"/>
      <c r="Y949" s="9"/>
      <c r="Z949" s="9"/>
      <c r="AA949" s="9"/>
      <c r="AB949" s="9"/>
    </row>
    <row r="950">
      <c r="A950" s="5">
        <v>42586.0</v>
      </c>
      <c r="B950" s="6">
        <v>2016.0</v>
      </c>
      <c r="C950" s="7" t="s">
        <v>77</v>
      </c>
      <c r="D950" s="7" t="s">
        <v>38</v>
      </c>
      <c r="E950" s="7" t="s">
        <v>35</v>
      </c>
      <c r="F950" s="6">
        <v>1101.0</v>
      </c>
      <c r="G950" s="6">
        <v>46291.37</v>
      </c>
      <c r="H950" s="6">
        <v>42.04</v>
      </c>
      <c r="I950" s="8">
        <v>36.13384196185286</v>
      </c>
      <c r="J950" s="6">
        <v>39783.36</v>
      </c>
      <c r="K950" s="6">
        <v>6508.01</v>
      </c>
      <c r="L950" s="6">
        <v>14.06</v>
      </c>
      <c r="M950" s="6">
        <f t="shared" si="1"/>
        <v>5.910999092</v>
      </c>
      <c r="N950" s="6">
        <v>14.06</v>
      </c>
      <c r="O950" s="7" t="s">
        <v>45</v>
      </c>
      <c r="P950" s="7" t="s">
        <v>46</v>
      </c>
      <c r="Q950" s="7" t="s">
        <v>25</v>
      </c>
      <c r="R950" s="10">
        <v>6831.39</v>
      </c>
      <c r="S950" s="10">
        <v>-323.38</v>
      </c>
      <c r="T950" s="9" t="s">
        <v>29</v>
      </c>
      <c r="U950" s="9"/>
      <c r="V950" s="9"/>
      <c r="W950" s="9"/>
      <c r="X950" s="9"/>
      <c r="Y950" s="9"/>
      <c r="Z950" s="9"/>
      <c r="AA950" s="9"/>
      <c r="AB950" s="9"/>
    </row>
    <row r="951">
      <c r="A951" s="5">
        <v>42587.0</v>
      </c>
      <c r="B951" s="6">
        <v>2016.0</v>
      </c>
      <c r="C951" s="7" t="s">
        <v>77</v>
      </c>
      <c r="D951" s="7" t="s">
        <v>40</v>
      </c>
      <c r="E951" s="7" t="s">
        <v>37</v>
      </c>
      <c r="F951" s="6">
        <v>1746.0</v>
      </c>
      <c r="G951" s="6">
        <v>73453.14</v>
      </c>
      <c r="H951" s="6">
        <v>42.07</v>
      </c>
      <c r="I951" s="8">
        <v>36.303831615120274</v>
      </c>
      <c r="J951" s="6">
        <v>63386.49</v>
      </c>
      <c r="K951" s="6">
        <v>10066.65</v>
      </c>
      <c r="L951" s="6">
        <v>13.7</v>
      </c>
      <c r="M951" s="6">
        <f t="shared" si="1"/>
        <v>5.765549828</v>
      </c>
      <c r="N951" s="6">
        <v>13.7</v>
      </c>
      <c r="O951" s="7" t="s">
        <v>45</v>
      </c>
      <c r="P951" s="7" t="s">
        <v>46</v>
      </c>
      <c r="Q951" s="7" t="s">
        <v>25</v>
      </c>
      <c r="R951" s="10">
        <v>6508.01</v>
      </c>
      <c r="S951" s="10">
        <v>3558.64</v>
      </c>
      <c r="T951" s="9" t="s">
        <v>33</v>
      </c>
      <c r="U951" s="9"/>
      <c r="V951" s="9"/>
      <c r="W951" s="9"/>
      <c r="X951" s="9"/>
      <c r="Y951" s="9"/>
      <c r="Z951" s="9"/>
      <c r="AA951" s="9"/>
      <c r="AB951" s="9"/>
    </row>
    <row r="952">
      <c r="A952" s="5">
        <v>42588.0</v>
      </c>
      <c r="B952" s="6">
        <v>2016.0</v>
      </c>
      <c r="C952" s="7" t="s">
        <v>77</v>
      </c>
      <c r="D952" s="7" t="s">
        <v>42</v>
      </c>
      <c r="E952" s="7" t="s">
        <v>39</v>
      </c>
      <c r="F952" s="6">
        <v>1700.0</v>
      </c>
      <c r="G952" s="6">
        <v>71508.9</v>
      </c>
      <c r="H952" s="6">
        <v>42.06</v>
      </c>
      <c r="I952" s="8">
        <v>36.176805882352944</v>
      </c>
      <c r="J952" s="6">
        <v>61500.57</v>
      </c>
      <c r="K952" s="6">
        <v>10008.32</v>
      </c>
      <c r="L952" s="6">
        <v>14.0</v>
      </c>
      <c r="M952" s="6">
        <f t="shared" si="1"/>
        <v>5.887247059</v>
      </c>
      <c r="N952" s="6">
        <v>14.0</v>
      </c>
      <c r="O952" s="7" t="s">
        <v>45</v>
      </c>
      <c r="P952" s="7" t="s">
        <v>46</v>
      </c>
      <c r="Q952" s="7" t="s">
        <v>25</v>
      </c>
      <c r="R952" s="10">
        <v>10066.65</v>
      </c>
      <c r="S952" s="10">
        <v>-58.33</v>
      </c>
      <c r="T952" s="9" t="s">
        <v>29</v>
      </c>
      <c r="U952" s="9"/>
      <c r="V952" s="9"/>
      <c r="W952" s="9"/>
      <c r="X952" s="9"/>
      <c r="Y952" s="9"/>
      <c r="Z952" s="9"/>
      <c r="AA952" s="9"/>
      <c r="AB952" s="9"/>
    </row>
    <row r="953">
      <c r="A953" s="5">
        <v>42589.0</v>
      </c>
      <c r="B953" s="6">
        <v>2016.0</v>
      </c>
      <c r="C953" s="7" t="s">
        <v>77</v>
      </c>
      <c r="D953" s="7" t="s">
        <v>43</v>
      </c>
      <c r="E953" s="7" t="s">
        <v>41</v>
      </c>
      <c r="F953" s="6">
        <v>715.0</v>
      </c>
      <c r="G953" s="6">
        <v>30066.13</v>
      </c>
      <c r="H953" s="6">
        <v>42.05</v>
      </c>
      <c r="I953" s="8">
        <v>36.185300699300704</v>
      </c>
      <c r="J953" s="6">
        <v>25872.49</v>
      </c>
      <c r="K953" s="6">
        <v>4193.64</v>
      </c>
      <c r="L953" s="6">
        <v>13.95</v>
      </c>
      <c r="M953" s="6">
        <f t="shared" si="1"/>
        <v>5.865230769</v>
      </c>
      <c r="N953" s="6">
        <v>13.95</v>
      </c>
      <c r="O953" s="7" t="s">
        <v>45</v>
      </c>
      <c r="P953" s="7" t="s">
        <v>46</v>
      </c>
      <c r="Q953" s="7" t="s">
        <v>25</v>
      </c>
      <c r="R953" s="10">
        <v>10008.32</v>
      </c>
      <c r="S953" s="10">
        <v>-5814.69</v>
      </c>
      <c r="T953" s="9" t="s">
        <v>29</v>
      </c>
      <c r="U953" s="9"/>
      <c r="V953" s="9"/>
      <c r="W953" s="9"/>
      <c r="X953" s="9"/>
      <c r="Y953" s="9"/>
      <c r="Z953" s="9"/>
      <c r="AA953" s="9"/>
      <c r="AB953" s="9"/>
    </row>
    <row r="954">
      <c r="A954" s="5">
        <v>42590.0</v>
      </c>
      <c r="B954" s="6">
        <v>2016.0</v>
      </c>
      <c r="C954" s="7" t="s">
        <v>77</v>
      </c>
      <c r="D954" s="7" t="s">
        <v>44</v>
      </c>
      <c r="E954" s="7" t="s">
        <v>22</v>
      </c>
      <c r="F954" s="6">
        <v>897.0</v>
      </c>
      <c r="G954" s="6">
        <v>37726.62</v>
      </c>
      <c r="H954" s="6">
        <v>42.06</v>
      </c>
      <c r="I954" s="8">
        <v>36.22089186176142</v>
      </c>
      <c r="J954" s="6">
        <v>32490.14</v>
      </c>
      <c r="K954" s="6">
        <v>5236.48</v>
      </c>
      <c r="L954" s="6">
        <v>13.88</v>
      </c>
      <c r="M954" s="6">
        <f t="shared" si="1"/>
        <v>5.837770346</v>
      </c>
      <c r="N954" s="6">
        <v>13.88</v>
      </c>
      <c r="O954" s="7" t="s">
        <v>45</v>
      </c>
      <c r="P954" s="7" t="s">
        <v>46</v>
      </c>
      <c r="Q954" s="7" t="s">
        <v>25</v>
      </c>
      <c r="R954" s="10">
        <v>4193.64</v>
      </c>
      <c r="S954" s="10">
        <v>1042.84</v>
      </c>
      <c r="T954" s="9" t="s">
        <v>33</v>
      </c>
      <c r="U954" s="9"/>
      <c r="V954" s="9"/>
      <c r="W954" s="9"/>
      <c r="X954" s="9"/>
      <c r="Y954" s="9"/>
      <c r="Z954" s="9"/>
      <c r="AA954" s="9"/>
      <c r="AB954" s="9"/>
    </row>
    <row r="955">
      <c r="A955" s="5">
        <v>42591.0</v>
      </c>
      <c r="B955" s="6">
        <v>2016.0</v>
      </c>
      <c r="C955" s="7" t="s">
        <v>77</v>
      </c>
      <c r="D955" s="7" t="s">
        <v>47</v>
      </c>
      <c r="E955" s="7" t="s">
        <v>28</v>
      </c>
      <c r="F955" s="6">
        <v>733.0</v>
      </c>
      <c r="G955" s="6">
        <v>30831.69</v>
      </c>
      <c r="H955" s="6">
        <v>42.06</v>
      </c>
      <c r="I955" s="8">
        <v>36.257953615279675</v>
      </c>
      <c r="J955" s="6">
        <v>26577.08</v>
      </c>
      <c r="K955" s="6">
        <v>4254.62</v>
      </c>
      <c r="L955" s="6">
        <v>13.8</v>
      </c>
      <c r="M955" s="6">
        <f t="shared" si="1"/>
        <v>5.804392906</v>
      </c>
      <c r="N955" s="6">
        <v>13.8</v>
      </c>
      <c r="O955" s="7" t="s">
        <v>45</v>
      </c>
      <c r="P955" s="7" t="s">
        <v>46</v>
      </c>
      <c r="Q955" s="7" t="s">
        <v>25</v>
      </c>
      <c r="R955" s="10">
        <v>5236.48</v>
      </c>
      <c r="S955" s="10">
        <v>-981.86</v>
      </c>
      <c r="T955" s="9" t="s">
        <v>29</v>
      </c>
      <c r="U955" s="9"/>
      <c r="V955" s="9"/>
      <c r="W955" s="9"/>
      <c r="X955" s="9"/>
      <c r="Y955" s="9"/>
      <c r="Z955" s="9"/>
      <c r="AA955" s="9"/>
      <c r="AB955" s="9"/>
    </row>
    <row r="956">
      <c r="A956" s="5">
        <v>42592.0</v>
      </c>
      <c r="B956" s="6">
        <v>2016.0</v>
      </c>
      <c r="C956" s="7" t="s">
        <v>77</v>
      </c>
      <c r="D956" s="7" t="s">
        <v>48</v>
      </c>
      <c r="E956" s="7" t="s">
        <v>32</v>
      </c>
      <c r="F956" s="6">
        <v>4282.0</v>
      </c>
      <c r="G956" s="6">
        <v>146811.46</v>
      </c>
      <c r="H956" s="6">
        <v>34.29</v>
      </c>
      <c r="I956" s="8">
        <v>36.22971275105091</v>
      </c>
      <c r="J956" s="6">
        <v>155135.63</v>
      </c>
      <c r="K956" s="6">
        <v>-8324.17</v>
      </c>
      <c r="L956" s="6">
        <v>-5.67</v>
      </c>
      <c r="M956" s="6">
        <f t="shared" si="1"/>
        <v>-1.943991126</v>
      </c>
      <c r="N956" s="6">
        <v>-5.67</v>
      </c>
      <c r="O956" s="7" t="s">
        <v>45</v>
      </c>
      <c r="P956" s="7" t="s">
        <v>46</v>
      </c>
      <c r="Q956" s="7" t="s">
        <v>25</v>
      </c>
      <c r="R956" s="10">
        <v>4254.62</v>
      </c>
      <c r="S956" s="10">
        <v>-12578.79</v>
      </c>
      <c r="T956" s="9" t="s">
        <v>29</v>
      </c>
      <c r="U956" s="9"/>
      <c r="V956" s="9"/>
      <c r="W956" s="9"/>
      <c r="X956" s="9"/>
      <c r="Y956" s="9"/>
      <c r="Z956" s="9"/>
      <c r="AA956" s="9"/>
      <c r="AB956" s="9"/>
    </row>
    <row r="957">
      <c r="A957" s="5">
        <v>42593.0</v>
      </c>
      <c r="B957" s="6">
        <v>2016.0</v>
      </c>
      <c r="C957" s="7" t="s">
        <v>77</v>
      </c>
      <c r="D957" s="7" t="s">
        <v>49</v>
      </c>
      <c r="E957" s="7" t="s">
        <v>35</v>
      </c>
      <c r="F957" s="6">
        <v>2867.0</v>
      </c>
      <c r="G957" s="6">
        <v>99867.33</v>
      </c>
      <c r="H957" s="6">
        <v>34.83</v>
      </c>
      <c r="I957" s="8">
        <v>36.2144053017091</v>
      </c>
      <c r="J957" s="6">
        <v>103826.7</v>
      </c>
      <c r="K957" s="6">
        <v>-3959.37</v>
      </c>
      <c r="L957" s="6">
        <v>-3.96</v>
      </c>
      <c r="M957" s="6">
        <f t="shared" si="1"/>
        <v>-1.381014998</v>
      </c>
      <c r="N957" s="6">
        <v>-3.96</v>
      </c>
      <c r="O957" s="7" t="s">
        <v>45</v>
      </c>
      <c r="P957" s="7" t="s">
        <v>46</v>
      </c>
      <c r="Q957" s="7" t="s">
        <v>25</v>
      </c>
      <c r="R957" s="10">
        <v>-8324.17</v>
      </c>
      <c r="S957" s="10">
        <v>4364.8</v>
      </c>
      <c r="T957" s="9" t="s">
        <v>33</v>
      </c>
      <c r="U957" s="9"/>
      <c r="V957" s="9"/>
      <c r="W957" s="9"/>
      <c r="X957" s="9"/>
      <c r="Y957" s="9"/>
      <c r="Z957" s="9"/>
      <c r="AA957" s="9"/>
      <c r="AB957" s="9"/>
    </row>
    <row r="958">
      <c r="A958" s="5">
        <v>42594.0</v>
      </c>
      <c r="B958" s="6">
        <v>2016.0</v>
      </c>
      <c r="C958" s="7" t="s">
        <v>77</v>
      </c>
      <c r="D958" s="7" t="s">
        <v>50</v>
      </c>
      <c r="E958" s="7" t="s">
        <v>37</v>
      </c>
      <c r="F958" s="6">
        <v>6082.0</v>
      </c>
      <c r="G958" s="6">
        <v>210664.86</v>
      </c>
      <c r="H958" s="6">
        <v>34.64</v>
      </c>
      <c r="I958" s="8">
        <v>36.234672804998354</v>
      </c>
      <c r="J958" s="6">
        <v>220379.28</v>
      </c>
      <c r="K958" s="6">
        <v>-9714.41</v>
      </c>
      <c r="L958" s="6">
        <v>-4.61</v>
      </c>
      <c r="M958" s="6">
        <f t="shared" si="1"/>
        <v>-1.597239395</v>
      </c>
      <c r="N958" s="6">
        <v>-4.61</v>
      </c>
      <c r="O958" s="7" t="s">
        <v>45</v>
      </c>
      <c r="P958" s="7" t="s">
        <v>46</v>
      </c>
      <c r="Q958" s="7" t="s">
        <v>25</v>
      </c>
      <c r="R958" s="10">
        <v>-3959.37</v>
      </c>
      <c r="S958" s="10">
        <v>-5755.04</v>
      </c>
      <c r="T958" s="9" t="s">
        <v>29</v>
      </c>
      <c r="U958" s="9"/>
      <c r="V958" s="9"/>
      <c r="W958" s="9"/>
      <c r="X958" s="9"/>
      <c r="Y958" s="9"/>
      <c r="Z958" s="9"/>
      <c r="AA958" s="9"/>
      <c r="AB958" s="9"/>
    </row>
    <row r="959">
      <c r="A959" s="5">
        <v>42595.0</v>
      </c>
      <c r="B959" s="6">
        <v>2016.0</v>
      </c>
      <c r="C959" s="7" t="s">
        <v>77</v>
      </c>
      <c r="D959" s="7" t="s">
        <v>51</v>
      </c>
      <c r="E959" s="7" t="s">
        <v>39</v>
      </c>
      <c r="F959" s="6">
        <v>7771.0</v>
      </c>
      <c r="G959" s="6">
        <v>266271.04</v>
      </c>
      <c r="H959" s="6">
        <v>34.26</v>
      </c>
      <c r="I959" s="8">
        <v>36.244810191738516</v>
      </c>
      <c r="J959" s="6">
        <v>281658.42</v>
      </c>
      <c r="K959" s="6">
        <v>-15387.38</v>
      </c>
      <c r="L959" s="6">
        <v>-5.78</v>
      </c>
      <c r="M959" s="6">
        <f t="shared" si="1"/>
        <v>-1.980102947</v>
      </c>
      <c r="N959" s="6">
        <v>-5.78</v>
      </c>
      <c r="O959" s="7" t="s">
        <v>45</v>
      </c>
      <c r="P959" s="7" t="s">
        <v>46</v>
      </c>
      <c r="Q959" s="7" t="s">
        <v>25</v>
      </c>
      <c r="R959" s="10">
        <v>-9714.41</v>
      </c>
      <c r="S959" s="10">
        <v>-5672.97</v>
      </c>
      <c r="T959" s="9" t="s">
        <v>29</v>
      </c>
      <c r="U959" s="9"/>
      <c r="V959" s="9"/>
      <c r="W959" s="9"/>
      <c r="X959" s="9"/>
      <c r="Y959" s="9"/>
      <c r="Z959" s="9"/>
      <c r="AA959" s="9"/>
      <c r="AB959" s="9"/>
    </row>
    <row r="960">
      <c r="A960" s="5">
        <v>42596.0</v>
      </c>
      <c r="B960" s="6">
        <v>2016.0</v>
      </c>
      <c r="C960" s="7" t="s">
        <v>77</v>
      </c>
      <c r="D960" s="7" t="s">
        <v>52</v>
      </c>
      <c r="E960" s="7" t="s">
        <v>41</v>
      </c>
      <c r="F960" s="6">
        <v>3576.0</v>
      </c>
      <c r="G960" s="6">
        <v>123084.04</v>
      </c>
      <c r="H960" s="6">
        <v>34.42</v>
      </c>
      <c r="I960" s="8">
        <v>36.242038590604025</v>
      </c>
      <c r="J960" s="6">
        <v>129601.53</v>
      </c>
      <c r="K960" s="6">
        <v>-6517.49</v>
      </c>
      <c r="L960" s="6">
        <v>-5.3</v>
      </c>
      <c r="M960" s="6">
        <f t="shared" si="1"/>
        <v>-1.822564318</v>
      </c>
      <c r="N960" s="6">
        <v>-5.3</v>
      </c>
      <c r="O960" s="7" t="s">
        <v>45</v>
      </c>
      <c r="P960" s="7" t="s">
        <v>46</v>
      </c>
      <c r="Q960" s="7" t="s">
        <v>25</v>
      </c>
      <c r="R960" s="10">
        <v>-15387.38</v>
      </c>
      <c r="S960" s="10">
        <v>8869.89</v>
      </c>
      <c r="T960" s="9" t="s">
        <v>33</v>
      </c>
      <c r="U960" s="9"/>
      <c r="V960" s="9"/>
      <c r="W960" s="9"/>
      <c r="X960" s="9"/>
      <c r="Y960" s="9"/>
      <c r="Z960" s="9"/>
      <c r="AA960" s="9"/>
      <c r="AB960" s="9"/>
    </row>
    <row r="961">
      <c r="A961" s="5">
        <v>42597.0</v>
      </c>
      <c r="B961" s="6">
        <v>2016.0</v>
      </c>
      <c r="C961" s="7" t="s">
        <v>77</v>
      </c>
      <c r="D961" s="7" t="s">
        <v>53</v>
      </c>
      <c r="E961" s="7" t="s">
        <v>22</v>
      </c>
      <c r="F961" s="6">
        <v>4649.0</v>
      </c>
      <c r="G961" s="6">
        <v>162727.52</v>
      </c>
      <c r="H961" s="6">
        <v>35.0</v>
      </c>
      <c r="I961" s="8">
        <v>36.26159819315982</v>
      </c>
      <c r="J961" s="6">
        <v>168580.17</v>
      </c>
      <c r="K961" s="6">
        <v>-5852.65</v>
      </c>
      <c r="L961" s="6">
        <v>-3.6</v>
      </c>
      <c r="M961" s="6">
        <f t="shared" si="1"/>
        <v>-1.258905141</v>
      </c>
      <c r="N961" s="6">
        <v>-3.6</v>
      </c>
      <c r="O961" s="7" t="s">
        <v>45</v>
      </c>
      <c r="P961" s="7" t="s">
        <v>46</v>
      </c>
      <c r="Q961" s="7" t="s">
        <v>25</v>
      </c>
      <c r="R961" s="10">
        <v>-6517.49</v>
      </c>
      <c r="S961" s="10">
        <v>664.84</v>
      </c>
      <c r="T961" s="9" t="s">
        <v>33</v>
      </c>
      <c r="U961" s="9"/>
      <c r="V961" s="9"/>
      <c r="W961" s="9"/>
      <c r="X961" s="9"/>
      <c r="Y961" s="9"/>
      <c r="Z961" s="9"/>
      <c r="AA961" s="9"/>
      <c r="AB961" s="9"/>
    </row>
    <row r="962">
      <c r="A962" s="5">
        <v>42598.0</v>
      </c>
      <c r="B962" s="6">
        <v>2016.0</v>
      </c>
      <c r="C962" s="7" t="s">
        <v>77</v>
      </c>
      <c r="D962" s="7" t="s">
        <v>54</v>
      </c>
      <c r="E962" s="7" t="s">
        <v>28</v>
      </c>
      <c r="F962" s="6">
        <v>3302.0</v>
      </c>
      <c r="G962" s="6">
        <v>114708.95</v>
      </c>
      <c r="H962" s="6">
        <v>34.74</v>
      </c>
      <c r="I962" s="8">
        <v>36.26834039975772</v>
      </c>
      <c r="J962" s="6">
        <v>119758.06</v>
      </c>
      <c r="K962" s="6">
        <v>-5049.12</v>
      </c>
      <c r="L962" s="6">
        <v>-4.4</v>
      </c>
      <c r="M962" s="6">
        <f t="shared" si="1"/>
        <v>-1.529109631</v>
      </c>
      <c r="N962" s="6">
        <v>-4.4</v>
      </c>
      <c r="O962" s="7" t="s">
        <v>45</v>
      </c>
      <c r="P962" s="7" t="s">
        <v>46</v>
      </c>
      <c r="Q962" s="7" t="s">
        <v>25</v>
      </c>
      <c r="R962" s="10">
        <v>-5852.65</v>
      </c>
      <c r="S962" s="10">
        <v>803.53</v>
      </c>
      <c r="T962" s="9" t="s">
        <v>33</v>
      </c>
      <c r="U962" s="9"/>
      <c r="V962" s="9"/>
      <c r="W962" s="9"/>
      <c r="X962" s="9"/>
      <c r="Y962" s="9"/>
      <c r="Z962" s="9"/>
      <c r="AA962" s="9"/>
      <c r="AB962" s="9"/>
    </row>
    <row r="963">
      <c r="A963" s="5">
        <v>42599.0</v>
      </c>
      <c r="B963" s="6">
        <v>2016.0</v>
      </c>
      <c r="C963" s="7" t="s">
        <v>77</v>
      </c>
      <c r="D963" s="7" t="s">
        <v>55</v>
      </c>
      <c r="E963" s="7" t="s">
        <v>32</v>
      </c>
      <c r="F963" s="6">
        <v>3536.0</v>
      </c>
      <c r="G963" s="6">
        <v>122318.91</v>
      </c>
      <c r="H963" s="6">
        <v>34.59</v>
      </c>
      <c r="I963" s="8">
        <v>36.283467194570136</v>
      </c>
      <c r="J963" s="6">
        <v>128298.34</v>
      </c>
      <c r="K963" s="6">
        <v>-5979.44</v>
      </c>
      <c r="L963" s="6">
        <v>-4.89</v>
      </c>
      <c r="M963" s="6">
        <f t="shared" si="1"/>
        <v>-1.6910181</v>
      </c>
      <c r="N963" s="6">
        <v>-4.89</v>
      </c>
      <c r="O963" s="7" t="s">
        <v>45</v>
      </c>
      <c r="P963" s="7" t="s">
        <v>46</v>
      </c>
      <c r="Q963" s="7" t="s">
        <v>25</v>
      </c>
      <c r="R963" s="10">
        <v>-5049.12</v>
      </c>
      <c r="S963" s="10">
        <v>-930.32</v>
      </c>
      <c r="T963" s="9" t="s">
        <v>29</v>
      </c>
      <c r="U963" s="9"/>
      <c r="V963" s="9"/>
      <c r="W963" s="9"/>
      <c r="X963" s="9"/>
      <c r="Y963" s="9"/>
      <c r="Z963" s="9"/>
      <c r="AA963" s="9"/>
      <c r="AB963" s="9"/>
    </row>
    <row r="964">
      <c r="A964" s="5">
        <v>42600.0</v>
      </c>
      <c r="B964" s="6">
        <v>2016.0</v>
      </c>
      <c r="C964" s="7" t="s">
        <v>77</v>
      </c>
      <c r="D964" s="7" t="s">
        <v>56</v>
      </c>
      <c r="E964" s="7" t="s">
        <v>35</v>
      </c>
      <c r="F964" s="6">
        <v>3236.0</v>
      </c>
      <c r="G964" s="6">
        <v>112010.34</v>
      </c>
      <c r="H964" s="6">
        <v>34.61</v>
      </c>
      <c r="I964" s="8">
        <v>36.271381334981456</v>
      </c>
      <c r="J964" s="6">
        <v>117374.19</v>
      </c>
      <c r="K964" s="6">
        <v>-5363.85</v>
      </c>
      <c r="L964" s="6">
        <v>-4.79</v>
      </c>
      <c r="M964" s="6">
        <f t="shared" si="1"/>
        <v>-1.657555624</v>
      </c>
      <c r="N964" s="6">
        <v>-4.79</v>
      </c>
      <c r="O964" s="7" t="s">
        <v>45</v>
      </c>
      <c r="P964" s="7" t="s">
        <v>46</v>
      </c>
      <c r="Q964" s="7" t="s">
        <v>25</v>
      </c>
      <c r="R964" s="10">
        <v>-5979.44</v>
      </c>
      <c r="S964" s="10">
        <v>615.59</v>
      </c>
      <c r="T964" s="9" t="s">
        <v>33</v>
      </c>
      <c r="U964" s="9"/>
      <c r="V964" s="9"/>
      <c r="W964" s="9"/>
      <c r="X964" s="9"/>
      <c r="Y964" s="9"/>
      <c r="Z964" s="9"/>
      <c r="AA964" s="9"/>
      <c r="AB964" s="9"/>
    </row>
    <row r="965">
      <c r="A965" s="5">
        <v>42601.0</v>
      </c>
      <c r="B965" s="6">
        <v>2016.0</v>
      </c>
      <c r="C965" s="7" t="s">
        <v>77</v>
      </c>
      <c r="D965" s="7" t="s">
        <v>57</v>
      </c>
      <c r="E965" s="7" t="s">
        <v>37</v>
      </c>
      <c r="F965" s="6">
        <v>6646.0</v>
      </c>
      <c r="G965" s="6">
        <v>229861.47</v>
      </c>
      <c r="H965" s="6">
        <v>34.59</v>
      </c>
      <c r="I965" s="8">
        <v>36.275975022569966</v>
      </c>
      <c r="J965" s="6">
        <v>241090.13</v>
      </c>
      <c r="K965" s="6">
        <v>-11228.66</v>
      </c>
      <c r="L965" s="6">
        <v>-4.88</v>
      </c>
      <c r="M965" s="6">
        <f t="shared" si="1"/>
        <v>-1.689536563</v>
      </c>
      <c r="N965" s="6">
        <v>-4.89</v>
      </c>
      <c r="O965" s="7" t="s">
        <v>45</v>
      </c>
      <c r="P965" s="7" t="s">
        <v>46</v>
      </c>
      <c r="Q965" s="7" t="s">
        <v>25</v>
      </c>
      <c r="R965" s="10">
        <v>-5363.85</v>
      </c>
      <c r="S965" s="10">
        <v>-5864.82</v>
      </c>
      <c r="T965" s="9" t="s">
        <v>29</v>
      </c>
      <c r="U965" s="9"/>
      <c r="V965" s="9"/>
      <c r="W965" s="9"/>
      <c r="X965" s="9"/>
      <c r="Y965" s="9"/>
      <c r="Z965" s="9"/>
      <c r="AA965" s="9"/>
      <c r="AB965" s="9"/>
    </row>
    <row r="966">
      <c r="A966" s="5">
        <v>42602.0</v>
      </c>
      <c r="B966" s="6">
        <v>2016.0</v>
      </c>
      <c r="C966" s="7" t="s">
        <v>77</v>
      </c>
      <c r="D966" s="7" t="s">
        <v>58</v>
      </c>
      <c r="E966" s="7" t="s">
        <v>39</v>
      </c>
      <c r="F966" s="6">
        <v>7220.0</v>
      </c>
      <c r="G966" s="6">
        <v>249981.25</v>
      </c>
      <c r="H966" s="6">
        <v>34.62</v>
      </c>
      <c r="I966" s="8">
        <v>36.30819667590028</v>
      </c>
      <c r="J966" s="6">
        <v>262145.18</v>
      </c>
      <c r="K966" s="6">
        <v>-12163.93</v>
      </c>
      <c r="L966" s="6">
        <v>-4.87</v>
      </c>
      <c r="M966" s="6">
        <f t="shared" si="1"/>
        <v>-1.684754848</v>
      </c>
      <c r="N966" s="6">
        <v>-4.87</v>
      </c>
      <c r="O966" s="7" t="s">
        <v>45</v>
      </c>
      <c r="P966" s="7" t="s">
        <v>46</v>
      </c>
      <c r="Q966" s="7" t="s">
        <v>25</v>
      </c>
      <c r="R966" s="10">
        <v>-11228.66</v>
      </c>
      <c r="S966" s="10">
        <v>-935.26</v>
      </c>
      <c r="T966" s="9" t="s">
        <v>29</v>
      </c>
      <c r="U966" s="9"/>
      <c r="V966" s="9"/>
      <c r="W966" s="9"/>
      <c r="X966" s="9"/>
      <c r="Y966" s="9"/>
      <c r="Z966" s="9"/>
      <c r="AA966" s="9"/>
      <c r="AB966" s="9"/>
    </row>
    <row r="967">
      <c r="A967" s="5">
        <v>42603.0</v>
      </c>
      <c r="B967" s="6">
        <v>2016.0</v>
      </c>
      <c r="C967" s="7" t="s">
        <v>77</v>
      </c>
      <c r="D967" s="7" t="s">
        <v>59</v>
      </c>
      <c r="E967" s="7" t="s">
        <v>41</v>
      </c>
      <c r="F967" s="6">
        <v>3958.0</v>
      </c>
      <c r="G967" s="6">
        <v>136480.25</v>
      </c>
      <c r="H967" s="6">
        <v>34.48</v>
      </c>
      <c r="I967" s="8">
        <v>36.31486356745832</v>
      </c>
      <c r="J967" s="6">
        <v>143734.23</v>
      </c>
      <c r="K967" s="6">
        <v>-7253.98</v>
      </c>
      <c r="L967" s="6">
        <v>-5.32</v>
      </c>
      <c r="M967" s="6">
        <f t="shared" si="1"/>
        <v>-1.832738757</v>
      </c>
      <c r="N967" s="6">
        <v>-5.32</v>
      </c>
      <c r="O967" s="7" t="s">
        <v>45</v>
      </c>
      <c r="P967" s="7" t="s">
        <v>46</v>
      </c>
      <c r="Q967" s="7" t="s">
        <v>25</v>
      </c>
      <c r="R967" s="10">
        <v>-12163.93</v>
      </c>
      <c r="S967" s="10">
        <v>4909.95</v>
      </c>
      <c r="T967" s="9" t="s">
        <v>33</v>
      </c>
      <c r="U967" s="9"/>
      <c r="V967" s="9"/>
      <c r="W967" s="9"/>
      <c r="X967" s="9"/>
      <c r="Y967" s="9"/>
      <c r="Z967" s="9"/>
      <c r="AA967" s="9"/>
      <c r="AB967" s="9"/>
    </row>
    <row r="968">
      <c r="A968" s="5">
        <v>42604.0</v>
      </c>
      <c r="B968" s="6">
        <v>2016.0</v>
      </c>
      <c r="C968" s="7" t="s">
        <v>77</v>
      </c>
      <c r="D968" s="7" t="s">
        <v>60</v>
      </c>
      <c r="E968" s="7" t="s">
        <v>22</v>
      </c>
      <c r="F968" s="6">
        <v>3672.0</v>
      </c>
      <c r="G968" s="6">
        <v>127369.8</v>
      </c>
      <c r="H968" s="6">
        <v>34.69</v>
      </c>
      <c r="I968" s="8">
        <v>36.315403050108934</v>
      </c>
      <c r="J968" s="6">
        <v>133350.16</v>
      </c>
      <c r="K968" s="6">
        <v>-5980.36</v>
      </c>
      <c r="L968" s="6">
        <v>-4.7</v>
      </c>
      <c r="M968" s="6">
        <f t="shared" si="1"/>
        <v>-1.628638344</v>
      </c>
      <c r="N968" s="6">
        <v>-4.7</v>
      </c>
      <c r="O968" s="7" t="s">
        <v>45</v>
      </c>
      <c r="P968" s="7" t="s">
        <v>46</v>
      </c>
      <c r="Q968" s="7" t="s">
        <v>25</v>
      </c>
      <c r="R968" s="10">
        <v>-7253.98</v>
      </c>
      <c r="S968" s="10">
        <v>1273.62</v>
      </c>
      <c r="T968" s="9" t="s">
        <v>33</v>
      </c>
      <c r="U968" s="9"/>
      <c r="V968" s="9"/>
      <c r="W968" s="9"/>
      <c r="X968" s="9"/>
      <c r="Y968" s="9"/>
      <c r="Z968" s="9"/>
      <c r="AA968" s="9"/>
      <c r="AB968" s="9"/>
    </row>
    <row r="969">
      <c r="A969" s="5">
        <v>42605.0</v>
      </c>
      <c r="B969" s="6">
        <v>2016.0</v>
      </c>
      <c r="C969" s="7" t="s">
        <v>77</v>
      </c>
      <c r="D969" s="7" t="s">
        <v>61</v>
      </c>
      <c r="E969" s="7" t="s">
        <v>28</v>
      </c>
      <c r="F969" s="6">
        <v>1035.0</v>
      </c>
      <c r="G969" s="6">
        <v>43537.73</v>
      </c>
      <c r="H969" s="6">
        <v>42.07</v>
      </c>
      <c r="I969" s="8">
        <v>36.376222222222225</v>
      </c>
      <c r="J969" s="6">
        <v>37649.39</v>
      </c>
      <c r="K969" s="6">
        <v>5888.34</v>
      </c>
      <c r="L969" s="6">
        <v>13.52</v>
      </c>
      <c r="M969" s="6">
        <f t="shared" si="1"/>
        <v>5.689217391</v>
      </c>
      <c r="N969" s="6">
        <v>13.52</v>
      </c>
      <c r="O969" s="7" t="s">
        <v>45</v>
      </c>
      <c r="P969" s="7" t="s">
        <v>46</v>
      </c>
      <c r="Q969" s="7" t="s">
        <v>25</v>
      </c>
      <c r="R969" s="10">
        <v>-5980.36</v>
      </c>
      <c r="S969" s="10">
        <v>11868.7</v>
      </c>
      <c r="T969" s="9" t="s">
        <v>33</v>
      </c>
      <c r="U969" s="9"/>
      <c r="V969" s="9"/>
      <c r="W969" s="9"/>
      <c r="X969" s="9"/>
      <c r="Y969" s="9"/>
      <c r="Z969" s="9"/>
      <c r="AA969" s="9"/>
      <c r="AB969" s="9"/>
    </row>
    <row r="970">
      <c r="A970" s="5">
        <v>42606.0</v>
      </c>
      <c r="B970" s="6">
        <v>2016.0</v>
      </c>
      <c r="C970" s="7" t="s">
        <v>77</v>
      </c>
      <c r="D970" s="7" t="s">
        <v>62</v>
      </c>
      <c r="E970" s="7" t="s">
        <v>32</v>
      </c>
      <c r="F970" s="6">
        <v>3549.0</v>
      </c>
      <c r="G970" s="6">
        <v>120407.41</v>
      </c>
      <c r="H970" s="6">
        <v>33.93</v>
      </c>
      <c r="I970" s="8">
        <v>35.98180332488025</v>
      </c>
      <c r="J970" s="6">
        <v>127699.42</v>
      </c>
      <c r="K970" s="6">
        <v>-7292.0</v>
      </c>
      <c r="L970" s="6">
        <v>-6.06</v>
      </c>
      <c r="M970" s="6">
        <f t="shared" si="1"/>
        <v>-2.054663285</v>
      </c>
      <c r="N970" s="6">
        <v>-6.06</v>
      </c>
      <c r="O970" s="7" t="s">
        <v>45</v>
      </c>
      <c r="P970" s="7" t="s">
        <v>46</v>
      </c>
      <c r="Q970" s="7" t="s">
        <v>25</v>
      </c>
      <c r="R970" s="10">
        <v>5888.34</v>
      </c>
      <c r="S970" s="10">
        <v>-13180.34</v>
      </c>
      <c r="T970" s="9" t="s">
        <v>29</v>
      </c>
      <c r="U970" s="9"/>
      <c r="V970" s="9"/>
      <c r="W970" s="9"/>
      <c r="X970" s="9"/>
      <c r="Y970" s="9"/>
      <c r="Z970" s="9"/>
      <c r="AA970" s="9"/>
      <c r="AB970" s="9"/>
    </row>
    <row r="971">
      <c r="A971" s="5">
        <v>42607.0</v>
      </c>
      <c r="B971" s="6">
        <v>2016.0</v>
      </c>
      <c r="C971" s="7" t="s">
        <v>77</v>
      </c>
      <c r="D971" s="7" t="s">
        <v>63</v>
      </c>
      <c r="E971" s="7" t="s">
        <v>35</v>
      </c>
      <c r="F971" s="6">
        <v>6647.0</v>
      </c>
      <c r="G971" s="6">
        <v>226375.54</v>
      </c>
      <c r="H971" s="6">
        <v>34.06</v>
      </c>
      <c r="I971" s="8">
        <v>36.17115841733113</v>
      </c>
      <c r="J971" s="6">
        <v>240429.69</v>
      </c>
      <c r="K971" s="6">
        <v>-14054.14</v>
      </c>
      <c r="L971" s="6">
        <v>-6.21</v>
      </c>
      <c r="M971" s="6">
        <f t="shared" si="1"/>
        <v>-2.114358357</v>
      </c>
      <c r="N971" s="6">
        <v>-6.21</v>
      </c>
      <c r="O971" s="7" t="s">
        <v>45</v>
      </c>
      <c r="P971" s="7" t="s">
        <v>46</v>
      </c>
      <c r="Q971" s="7" t="s">
        <v>25</v>
      </c>
      <c r="R971" s="10">
        <v>-7292.0</v>
      </c>
      <c r="S971" s="10">
        <v>-6762.14</v>
      </c>
      <c r="T971" s="9" t="s">
        <v>29</v>
      </c>
      <c r="U971" s="9"/>
      <c r="V971" s="9"/>
      <c r="W971" s="9"/>
      <c r="X971" s="9"/>
      <c r="Y971" s="9"/>
      <c r="Z971" s="9"/>
      <c r="AA971" s="9"/>
      <c r="AB971" s="9"/>
    </row>
    <row r="972">
      <c r="A972" s="5">
        <v>42608.0</v>
      </c>
      <c r="B972" s="6">
        <v>2016.0</v>
      </c>
      <c r="C972" s="7" t="s">
        <v>77</v>
      </c>
      <c r="D972" s="7" t="s">
        <v>64</v>
      </c>
      <c r="E972" s="7" t="s">
        <v>37</v>
      </c>
      <c r="F972" s="6">
        <v>9908.0</v>
      </c>
      <c r="G972" s="6">
        <v>337900.18</v>
      </c>
      <c r="H972" s="6">
        <v>34.1</v>
      </c>
      <c r="I972" s="8">
        <v>36.21036031489705</v>
      </c>
      <c r="J972" s="6">
        <v>358772.25</v>
      </c>
      <c r="K972" s="6">
        <v>-20872.07</v>
      </c>
      <c r="L972" s="6">
        <v>-6.18</v>
      </c>
      <c r="M972" s="6">
        <f t="shared" si="1"/>
        <v>-2.106587606</v>
      </c>
      <c r="N972" s="6">
        <v>-6.18</v>
      </c>
      <c r="O972" s="7" t="s">
        <v>45</v>
      </c>
      <c r="P972" s="7" t="s">
        <v>46</v>
      </c>
      <c r="Q972" s="7" t="s">
        <v>25</v>
      </c>
      <c r="R972" s="10">
        <v>-14054.14</v>
      </c>
      <c r="S972" s="10">
        <v>-6817.93</v>
      </c>
      <c r="T972" s="9" t="s">
        <v>29</v>
      </c>
      <c r="U972" s="9"/>
      <c r="V972" s="9"/>
      <c r="W972" s="9"/>
      <c r="X972" s="9"/>
      <c r="Y972" s="9"/>
      <c r="Z972" s="9"/>
      <c r="AA972" s="9"/>
      <c r="AB972" s="9"/>
    </row>
    <row r="973">
      <c r="A973" s="5">
        <v>42609.0</v>
      </c>
      <c r="B973" s="6">
        <v>2016.0</v>
      </c>
      <c r="C973" s="7" t="s">
        <v>77</v>
      </c>
      <c r="D973" s="7" t="s">
        <v>65</v>
      </c>
      <c r="E973" s="7" t="s">
        <v>39</v>
      </c>
      <c r="F973" s="6">
        <v>10393.0</v>
      </c>
      <c r="G973" s="6">
        <v>355069.54</v>
      </c>
      <c r="H973" s="6">
        <v>34.16</v>
      </c>
      <c r="I973" s="8">
        <v>36.2508957952468</v>
      </c>
      <c r="J973" s="6">
        <v>376755.56</v>
      </c>
      <c r="K973" s="6">
        <v>-21686.02</v>
      </c>
      <c r="L973" s="6">
        <v>-6.11</v>
      </c>
      <c r="M973" s="6">
        <f t="shared" si="1"/>
        <v>-2.086598672</v>
      </c>
      <c r="N973" s="6">
        <v>-6.11</v>
      </c>
      <c r="O973" s="7" t="s">
        <v>45</v>
      </c>
      <c r="P973" s="7" t="s">
        <v>46</v>
      </c>
      <c r="Q973" s="7" t="s">
        <v>25</v>
      </c>
      <c r="R973" s="10">
        <v>-20872.07</v>
      </c>
      <c r="S973" s="10">
        <v>-813.95</v>
      </c>
      <c r="T973" s="9" t="s">
        <v>29</v>
      </c>
      <c r="U973" s="9"/>
      <c r="V973" s="9"/>
      <c r="W973" s="9"/>
      <c r="X973" s="9"/>
      <c r="Y973" s="9"/>
      <c r="Z973" s="9"/>
      <c r="AA973" s="9"/>
      <c r="AB973" s="9"/>
    </row>
    <row r="974">
      <c r="A974" s="5">
        <v>42610.0</v>
      </c>
      <c r="B974" s="6">
        <v>2016.0</v>
      </c>
      <c r="C974" s="7" t="s">
        <v>77</v>
      </c>
      <c r="D974" s="7" t="s">
        <v>66</v>
      </c>
      <c r="E974" s="7" t="s">
        <v>41</v>
      </c>
      <c r="F974" s="6">
        <v>4507.0</v>
      </c>
      <c r="G974" s="6">
        <v>153893.69</v>
      </c>
      <c r="H974" s="6">
        <v>34.15</v>
      </c>
      <c r="I974" s="8">
        <v>36.2550099844686</v>
      </c>
      <c r="J974" s="6">
        <v>163401.33</v>
      </c>
      <c r="K974" s="6">
        <v>-9507.64</v>
      </c>
      <c r="L974" s="6">
        <v>-6.18</v>
      </c>
      <c r="M974" s="6">
        <f t="shared" si="1"/>
        <v>-2.109527402</v>
      </c>
      <c r="N974" s="6">
        <v>-6.18</v>
      </c>
      <c r="O974" s="7" t="s">
        <v>45</v>
      </c>
      <c r="P974" s="7" t="s">
        <v>46</v>
      </c>
      <c r="Q974" s="7" t="s">
        <v>25</v>
      </c>
      <c r="R974" s="10">
        <v>-21686.02</v>
      </c>
      <c r="S974" s="10">
        <v>12178.38</v>
      </c>
      <c r="T974" s="9" t="s">
        <v>33</v>
      </c>
      <c r="U974" s="9"/>
      <c r="V974" s="9"/>
      <c r="W974" s="9"/>
      <c r="X974" s="9"/>
      <c r="Y974" s="9"/>
      <c r="Z974" s="9"/>
      <c r="AA974" s="9"/>
      <c r="AB974" s="9"/>
    </row>
    <row r="975">
      <c r="A975" s="5">
        <v>42611.0</v>
      </c>
      <c r="B975" s="6">
        <v>2016.0</v>
      </c>
      <c r="C975" s="7" t="s">
        <v>77</v>
      </c>
      <c r="D975" s="7" t="s">
        <v>67</v>
      </c>
      <c r="E975" s="7" t="s">
        <v>22</v>
      </c>
      <c r="F975" s="6">
        <v>4672.0</v>
      </c>
      <c r="G975" s="6">
        <v>159625.74</v>
      </c>
      <c r="H975" s="6">
        <v>34.17</v>
      </c>
      <c r="I975" s="8">
        <v>36.2754944349315</v>
      </c>
      <c r="J975" s="6">
        <v>169479.11</v>
      </c>
      <c r="K975" s="6">
        <v>-9853.37</v>
      </c>
      <c r="L975" s="6">
        <v>-6.17</v>
      </c>
      <c r="M975" s="6">
        <f t="shared" si="1"/>
        <v>-2.109026113</v>
      </c>
      <c r="N975" s="6">
        <v>-6.17</v>
      </c>
      <c r="O975" s="7" t="s">
        <v>45</v>
      </c>
      <c r="P975" s="7" t="s">
        <v>46</v>
      </c>
      <c r="Q975" s="7" t="s">
        <v>25</v>
      </c>
      <c r="R975" s="10">
        <v>-9507.64</v>
      </c>
      <c r="S975" s="10">
        <v>-345.72</v>
      </c>
      <c r="T975" s="9" t="s">
        <v>29</v>
      </c>
      <c r="U975" s="9"/>
      <c r="V975" s="9"/>
      <c r="W975" s="9"/>
      <c r="X975" s="9"/>
      <c r="Y975" s="9"/>
      <c r="Z975" s="9"/>
      <c r="AA975" s="9"/>
      <c r="AB975" s="9"/>
    </row>
    <row r="976">
      <c r="A976" s="5">
        <v>42612.0</v>
      </c>
      <c r="B976" s="6">
        <v>2016.0</v>
      </c>
      <c r="C976" s="7" t="s">
        <v>77</v>
      </c>
      <c r="D976" s="7" t="s">
        <v>21</v>
      </c>
      <c r="E976" s="7" t="s">
        <v>28</v>
      </c>
      <c r="F976" s="6">
        <v>3924.0</v>
      </c>
      <c r="G976" s="6">
        <v>133961.97</v>
      </c>
      <c r="H976" s="6">
        <v>34.14</v>
      </c>
      <c r="I976" s="8">
        <v>36.26399592252804</v>
      </c>
      <c r="J976" s="6">
        <v>142299.92</v>
      </c>
      <c r="K976" s="6">
        <v>-8337.95</v>
      </c>
      <c r="L976" s="6">
        <v>-6.22</v>
      </c>
      <c r="M976" s="6">
        <f t="shared" si="1"/>
        <v>-2.124859837</v>
      </c>
      <c r="N976" s="6">
        <v>-6.22</v>
      </c>
      <c r="O976" s="7" t="s">
        <v>45</v>
      </c>
      <c r="P976" s="7" t="s">
        <v>46</v>
      </c>
      <c r="Q976" s="7" t="s">
        <v>25</v>
      </c>
      <c r="R976" s="10">
        <v>-9853.37</v>
      </c>
      <c r="S976" s="10">
        <v>1515.41</v>
      </c>
      <c r="T976" s="9" t="s">
        <v>33</v>
      </c>
      <c r="U976" s="9"/>
      <c r="V976" s="9"/>
      <c r="W976" s="9"/>
      <c r="X976" s="9"/>
      <c r="Y976" s="9"/>
      <c r="Z976" s="9"/>
      <c r="AA976" s="9"/>
      <c r="AB976" s="9"/>
    </row>
    <row r="977">
      <c r="A977" s="5">
        <v>42613.0</v>
      </c>
      <c r="B977" s="6">
        <v>2016.0</v>
      </c>
      <c r="C977" s="7" t="s">
        <v>77</v>
      </c>
      <c r="D977" s="7" t="s">
        <v>27</v>
      </c>
      <c r="E977" s="7" t="s">
        <v>32</v>
      </c>
      <c r="F977" s="6">
        <v>6918.0</v>
      </c>
      <c r="G977" s="6">
        <v>236305.16</v>
      </c>
      <c r="H977" s="6">
        <v>34.16</v>
      </c>
      <c r="I977" s="8">
        <v>36.220359930615786</v>
      </c>
      <c r="J977" s="6">
        <v>250572.45</v>
      </c>
      <c r="K977" s="6">
        <v>-14267.3</v>
      </c>
      <c r="L977" s="6">
        <v>-6.04</v>
      </c>
      <c r="M977" s="6">
        <f t="shared" si="1"/>
        <v>-2.062344608</v>
      </c>
      <c r="N977" s="6">
        <v>-6.04</v>
      </c>
      <c r="O977" s="7" t="s">
        <v>45</v>
      </c>
      <c r="P977" s="7" t="s">
        <v>46</v>
      </c>
      <c r="Q977" s="7" t="s">
        <v>25</v>
      </c>
      <c r="R977" s="10">
        <v>-8337.95</v>
      </c>
      <c r="S977" s="10">
        <v>-5929.35</v>
      </c>
      <c r="T977" s="9" t="s">
        <v>29</v>
      </c>
      <c r="U977" s="9"/>
      <c r="V977" s="9"/>
      <c r="W977" s="9"/>
      <c r="X977" s="9"/>
      <c r="Y977" s="9"/>
      <c r="Z977" s="9"/>
      <c r="AA977" s="9"/>
      <c r="AB977" s="9"/>
    </row>
    <row r="978">
      <c r="A978" s="5">
        <v>42614.0</v>
      </c>
      <c r="B978" s="6">
        <v>2016.0</v>
      </c>
      <c r="C978" s="7" t="s">
        <v>78</v>
      </c>
      <c r="D978" s="7" t="s">
        <v>31</v>
      </c>
      <c r="E978" s="7" t="s">
        <v>35</v>
      </c>
      <c r="F978" s="6">
        <v>9183.0</v>
      </c>
      <c r="G978" s="6">
        <v>313491.74</v>
      </c>
      <c r="H978" s="6">
        <v>34.14</v>
      </c>
      <c r="I978" s="8">
        <v>36.26602199716868</v>
      </c>
      <c r="J978" s="6">
        <v>333030.88</v>
      </c>
      <c r="K978" s="6">
        <v>-19539.14</v>
      </c>
      <c r="L978" s="6">
        <v>-6.23</v>
      </c>
      <c r="M978" s="6">
        <f t="shared" si="1"/>
        <v>-2.12775128</v>
      </c>
      <c r="N978" s="6">
        <v>-6.23</v>
      </c>
      <c r="O978" s="7" t="s">
        <v>45</v>
      </c>
      <c r="P978" s="7" t="s">
        <v>46</v>
      </c>
      <c r="Q978" s="7" t="s">
        <v>25</v>
      </c>
      <c r="R978" s="10">
        <v>-14267.3</v>
      </c>
      <c r="S978" s="10">
        <v>-5271.84</v>
      </c>
      <c r="T978" s="9" t="s">
        <v>29</v>
      </c>
      <c r="U978" s="9"/>
      <c r="V978" s="9"/>
      <c r="W978" s="9"/>
      <c r="X978" s="9"/>
      <c r="Y978" s="9"/>
      <c r="Z978" s="9"/>
      <c r="AA978" s="9"/>
      <c r="AB978" s="9"/>
    </row>
    <row r="979">
      <c r="A979" s="5">
        <v>42615.0</v>
      </c>
      <c r="B979" s="6">
        <v>2016.0</v>
      </c>
      <c r="C979" s="7" t="s">
        <v>78</v>
      </c>
      <c r="D979" s="7" t="s">
        <v>34</v>
      </c>
      <c r="E979" s="7" t="s">
        <v>37</v>
      </c>
      <c r="F979" s="6">
        <v>10830.0</v>
      </c>
      <c r="G979" s="6">
        <v>370355.0</v>
      </c>
      <c r="H979" s="6">
        <v>34.2</v>
      </c>
      <c r="I979" s="8">
        <v>36.24128162511542</v>
      </c>
      <c r="J979" s="6">
        <v>392493.08</v>
      </c>
      <c r="K979" s="6">
        <v>-22138.08</v>
      </c>
      <c r="L979" s="6">
        <v>-5.98</v>
      </c>
      <c r="M979" s="6">
        <f t="shared" si="1"/>
        <v>-2.044144044</v>
      </c>
      <c r="N979" s="6">
        <v>-5.98</v>
      </c>
      <c r="O979" s="7" t="s">
        <v>45</v>
      </c>
      <c r="P979" s="7" t="s">
        <v>46</v>
      </c>
      <c r="Q979" s="7" t="s">
        <v>25</v>
      </c>
      <c r="R979" s="10">
        <v>-19539.14</v>
      </c>
      <c r="S979" s="10">
        <v>-2598.94</v>
      </c>
      <c r="T979" s="9" t="s">
        <v>29</v>
      </c>
      <c r="U979" s="9"/>
      <c r="V979" s="9"/>
      <c r="W979" s="9"/>
      <c r="X979" s="9"/>
      <c r="Y979" s="9"/>
      <c r="Z979" s="9"/>
      <c r="AA979" s="9"/>
      <c r="AB979" s="9"/>
    </row>
    <row r="980">
      <c r="A980" s="5">
        <v>42616.0</v>
      </c>
      <c r="B980" s="6">
        <v>2016.0</v>
      </c>
      <c r="C980" s="7" t="s">
        <v>78</v>
      </c>
      <c r="D980" s="7" t="s">
        <v>36</v>
      </c>
      <c r="E980" s="7" t="s">
        <v>39</v>
      </c>
      <c r="F980" s="6">
        <v>10800.0</v>
      </c>
      <c r="G980" s="6">
        <v>369091.06</v>
      </c>
      <c r="H980" s="6">
        <v>34.18</v>
      </c>
      <c r="I980" s="8">
        <v>36.28171296296296</v>
      </c>
      <c r="J980" s="6">
        <v>391842.5</v>
      </c>
      <c r="K980" s="6">
        <v>-22751.45</v>
      </c>
      <c r="L980" s="6">
        <v>-6.16</v>
      </c>
      <c r="M980" s="6">
        <f t="shared" si="1"/>
        <v>-2.106615741</v>
      </c>
      <c r="N980" s="6">
        <v>-6.16</v>
      </c>
      <c r="O980" s="7" t="s">
        <v>45</v>
      </c>
      <c r="P980" s="7" t="s">
        <v>46</v>
      </c>
      <c r="Q980" s="7" t="s">
        <v>25</v>
      </c>
      <c r="R980" s="10">
        <v>-22138.08</v>
      </c>
      <c r="S980" s="10">
        <v>-613.37</v>
      </c>
      <c r="T980" s="9" t="s">
        <v>29</v>
      </c>
      <c r="U980" s="9"/>
      <c r="V980" s="9"/>
      <c r="W980" s="9"/>
      <c r="X980" s="9"/>
      <c r="Y980" s="9"/>
      <c r="Z980" s="9"/>
      <c r="AA980" s="9"/>
      <c r="AB980" s="9"/>
    </row>
    <row r="981">
      <c r="A981" s="5">
        <v>42617.0</v>
      </c>
      <c r="B981" s="6">
        <v>2016.0</v>
      </c>
      <c r="C981" s="7" t="s">
        <v>78</v>
      </c>
      <c r="D981" s="7" t="s">
        <v>38</v>
      </c>
      <c r="E981" s="7" t="s">
        <v>41</v>
      </c>
      <c r="F981" s="6">
        <v>6119.0</v>
      </c>
      <c r="G981" s="6">
        <v>209026.02</v>
      </c>
      <c r="H981" s="6">
        <v>34.16</v>
      </c>
      <c r="I981" s="8">
        <v>36.30719562019938</v>
      </c>
      <c r="J981" s="6">
        <v>222163.73</v>
      </c>
      <c r="K981" s="6">
        <v>-13137.71</v>
      </c>
      <c r="L981" s="6">
        <v>-6.29</v>
      </c>
      <c r="M981" s="6">
        <f t="shared" si="1"/>
        <v>-2.147035463</v>
      </c>
      <c r="N981" s="6">
        <v>-6.29</v>
      </c>
      <c r="O981" s="7" t="s">
        <v>45</v>
      </c>
      <c r="P981" s="7" t="s">
        <v>46</v>
      </c>
      <c r="Q981" s="7" t="s">
        <v>25</v>
      </c>
      <c r="R981" s="10">
        <v>-22751.45</v>
      </c>
      <c r="S981" s="10">
        <v>9613.74</v>
      </c>
      <c r="T981" s="9" t="s">
        <v>33</v>
      </c>
      <c r="U981" s="9"/>
      <c r="V981" s="9"/>
      <c r="W981" s="9"/>
      <c r="X981" s="9"/>
      <c r="Y981" s="9"/>
      <c r="Z981" s="9"/>
      <c r="AA981" s="9"/>
      <c r="AB981" s="9"/>
    </row>
    <row r="982">
      <c r="A982" s="5">
        <v>42618.0</v>
      </c>
      <c r="B982" s="6">
        <v>2016.0</v>
      </c>
      <c r="C982" s="7" t="s">
        <v>78</v>
      </c>
      <c r="D982" s="7" t="s">
        <v>40</v>
      </c>
      <c r="E982" s="7" t="s">
        <v>22</v>
      </c>
      <c r="F982" s="6">
        <v>6685.0</v>
      </c>
      <c r="G982" s="6">
        <v>228177.32</v>
      </c>
      <c r="H982" s="6">
        <v>34.13</v>
      </c>
      <c r="I982" s="8">
        <v>36.28864472700075</v>
      </c>
      <c r="J982" s="6">
        <v>242589.59</v>
      </c>
      <c r="K982" s="6">
        <v>-14412.27</v>
      </c>
      <c r="L982" s="6">
        <v>-6.32</v>
      </c>
      <c r="M982" s="6">
        <f t="shared" si="1"/>
        <v>-2.155911743</v>
      </c>
      <c r="N982" s="6">
        <v>-6.32</v>
      </c>
      <c r="O982" s="7" t="s">
        <v>45</v>
      </c>
      <c r="P982" s="7" t="s">
        <v>46</v>
      </c>
      <c r="Q982" s="7" t="s">
        <v>25</v>
      </c>
      <c r="R982" s="10">
        <v>-13137.71</v>
      </c>
      <c r="S982" s="10">
        <v>-1274.56</v>
      </c>
      <c r="T982" s="9" t="s">
        <v>29</v>
      </c>
      <c r="U982" s="9"/>
      <c r="V982" s="9"/>
      <c r="W982" s="9"/>
      <c r="X982" s="9"/>
      <c r="Y982" s="9"/>
      <c r="Z982" s="9"/>
      <c r="AA982" s="9"/>
      <c r="AB982" s="9"/>
    </row>
    <row r="983">
      <c r="A983" s="5">
        <v>42619.0</v>
      </c>
      <c r="B983" s="6">
        <v>2016.0</v>
      </c>
      <c r="C983" s="7" t="s">
        <v>78</v>
      </c>
      <c r="D983" s="7" t="s">
        <v>42</v>
      </c>
      <c r="E983" s="7" t="s">
        <v>28</v>
      </c>
      <c r="F983" s="6">
        <v>4519.0</v>
      </c>
      <c r="G983" s="6">
        <v>154494.78</v>
      </c>
      <c r="H983" s="6">
        <v>34.19</v>
      </c>
      <c r="I983" s="8">
        <v>36.31529763221951</v>
      </c>
      <c r="J983" s="6">
        <v>164108.83</v>
      </c>
      <c r="K983" s="6">
        <v>-9614.04</v>
      </c>
      <c r="L983" s="6">
        <v>-6.22</v>
      </c>
      <c r="M983" s="6">
        <f t="shared" si="1"/>
        <v>-2.127470679</v>
      </c>
      <c r="N983" s="6">
        <v>-6.22</v>
      </c>
      <c r="O983" s="7" t="s">
        <v>45</v>
      </c>
      <c r="P983" s="7" t="s">
        <v>46</v>
      </c>
      <c r="Q983" s="7" t="s">
        <v>25</v>
      </c>
      <c r="R983" s="10">
        <v>-14412.27</v>
      </c>
      <c r="S983" s="10">
        <v>4798.23</v>
      </c>
      <c r="T983" s="9" t="s">
        <v>33</v>
      </c>
      <c r="U983" s="9"/>
      <c r="V983" s="9"/>
      <c r="W983" s="9"/>
      <c r="X983" s="9"/>
      <c r="Y983" s="9"/>
      <c r="Z983" s="9"/>
      <c r="AA983" s="9"/>
      <c r="AB983" s="9"/>
    </row>
    <row r="984">
      <c r="A984" s="5">
        <v>42620.0</v>
      </c>
      <c r="B984" s="6">
        <v>2016.0</v>
      </c>
      <c r="C984" s="7" t="s">
        <v>78</v>
      </c>
      <c r="D984" s="7" t="s">
        <v>43</v>
      </c>
      <c r="E984" s="7" t="s">
        <v>32</v>
      </c>
      <c r="F984" s="6">
        <v>1206.0</v>
      </c>
      <c r="G984" s="6">
        <v>50736.47</v>
      </c>
      <c r="H984" s="6">
        <v>42.07</v>
      </c>
      <c r="I984" s="8">
        <v>36.34344941956882</v>
      </c>
      <c r="J984" s="6">
        <v>43830.2</v>
      </c>
      <c r="K984" s="6">
        <v>6906.28</v>
      </c>
      <c r="L984" s="6">
        <v>13.61</v>
      </c>
      <c r="M984" s="6">
        <f t="shared" si="1"/>
        <v>5.726600332</v>
      </c>
      <c r="N984" s="6">
        <v>13.61</v>
      </c>
      <c r="O984" s="7" t="s">
        <v>45</v>
      </c>
      <c r="P984" s="7" t="s">
        <v>46</v>
      </c>
      <c r="Q984" s="7" t="s">
        <v>25</v>
      </c>
      <c r="R984" s="10">
        <v>-9614.04</v>
      </c>
      <c r="S984" s="10">
        <v>16520.32</v>
      </c>
      <c r="T984" s="9" t="s">
        <v>33</v>
      </c>
      <c r="U984" s="9"/>
      <c r="V984" s="9"/>
      <c r="W984" s="9"/>
      <c r="X984" s="9"/>
      <c r="Y984" s="9"/>
      <c r="Z984" s="9"/>
      <c r="AA984" s="9"/>
      <c r="AB984" s="9"/>
    </row>
    <row r="985">
      <c r="A985" s="5">
        <v>42621.0</v>
      </c>
      <c r="B985" s="6">
        <v>2016.0</v>
      </c>
      <c r="C985" s="7" t="s">
        <v>78</v>
      </c>
      <c r="D985" s="7" t="s">
        <v>44</v>
      </c>
      <c r="E985" s="7" t="s">
        <v>35</v>
      </c>
      <c r="F985" s="6">
        <v>1029.0</v>
      </c>
      <c r="G985" s="6">
        <v>43292.15</v>
      </c>
      <c r="H985" s="6">
        <v>42.07</v>
      </c>
      <c r="I985" s="8">
        <v>36.3378814382896</v>
      </c>
      <c r="J985" s="6">
        <v>37391.68</v>
      </c>
      <c r="K985" s="6">
        <v>5900.47</v>
      </c>
      <c r="L985" s="6">
        <v>13.63</v>
      </c>
      <c r="M985" s="6">
        <f t="shared" si="1"/>
        <v>5.734178814</v>
      </c>
      <c r="N985" s="6">
        <v>13.63</v>
      </c>
      <c r="O985" s="7" t="s">
        <v>45</v>
      </c>
      <c r="P985" s="7" t="s">
        <v>46</v>
      </c>
      <c r="Q985" s="7" t="s">
        <v>25</v>
      </c>
      <c r="R985" s="10">
        <v>6906.28</v>
      </c>
      <c r="S985" s="10">
        <v>-1005.81</v>
      </c>
      <c r="T985" s="9" t="s">
        <v>29</v>
      </c>
      <c r="U985" s="9"/>
      <c r="V985" s="9"/>
      <c r="W985" s="9"/>
      <c r="X985" s="9"/>
      <c r="Y985" s="9"/>
      <c r="Z985" s="9"/>
      <c r="AA985" s="9"/>
      <c r="AB985" s="9"/>
    </row>
    <row r="986">
      <c r="A986" s="5">
        <v>42622.0</v>
      </c>
      <c r="B986" s="6">
        <v>2016.0</v>
      </c>
      <c r="C986" s="7" t="s">
        <v>78</v>
      </c>
      <c r="D986" s="7" t="s">
        <v>47</v>
      </c>
      <c r="E986" s="7" t="s">
        <v>37</v>
      </c>
      <c r="F986" s="6">
        <v>1917.0</v>
      </c>
      <c r="G986" s="6">
        <v>77335.92</v>
      </c>
      <c r="H986" s="6">
        <v>40.34</v>
      </c>
      <c r="I986" s="8">
        <v>36.31305685967658</v>
      </c>
      <c r="J986" s="6">
        <v>69612.13</v>
      </c>
      <c r="K986" s="6">
        <v>7723.79</v>
      </c>
      <c r="L986" s="6">
        <v>9.99</v>
      </c>
      <c r="M986" s="6">
        <f t="shared" si="1"/>
        <v>4.029102765</v>
      </c>
      <c r="N986" s="6">
        <v>9.99</v>
      </c>
      <c r="O986" s="7" t="s">
        <v>45</v>
      </c>
      <c r="P986" s="7" t="s">
        <v>46</v>
      </c>
      <c r="Q986" s="7" t="s">
        <v>25</v>
      </c>
      <c r="R986" s="10">
        <v>5900.47</v>
      </c>
      <c r="S986" s="10">
        <v>1823.32</v>
      </c>
      <c r="T986" s="9" t="s">
        <v>33</v>
      </c>
      <c r="U986" s="9"/>
      <c r="V986" s="9"/>
      <c r="W986" s="9"/>
      <c r="X986" s="9"/>
      <c r="Y986" s="9"/>
      <c r="Z986" s="9"/>
      <c r="AA986" s="9"/>
      <c r="AB986" s="9"/>
    </row>
    <row r="987">
      <c r="A987" s="5">
        <v>42623.0</v>
      </c>
      <c r="B987" s="6">
        <v>2016.0</v>
      </c>
      <c r="C987" s="7" t="s">
        <v>78</v>
      </c>
      <c r="D987" s="7" t="s">
        <v>48</v>
      </c>
      <c r="E987" s="7" t="s">
        <v>39</v>
      </c>
      <c r="F987" s="6">
        <v>2108.0</v>
      </c>
      <c r="G987" s="6">
        <v>85070.23</v>
      </c>
      <c r="H987" s="6">
        <v>40.36</v>
      </c>
      <c r="I987" s="8">
        <v>36.33389468690702</v>
      </c>
      <c r="J987" s="6">
        <v>76591.85</v>
      </c>
      <c r="K987" s="6">
        <v>8478.38</v>
      </c>
      <c r="L987" s="6">
        <v>9.97</v>
      </c>
      <c r="M987" s="6">
        <f t="shared" si="1"/>
        <v>4.022001898</v>
      </c>
      <c r="N987" s="6">
        <v>9.97</v>
      </c>
      <c r="O987" s="7" t="s">
        <v>45</v>
      </c>
      <c r="P987" s="7" t="s">
        <v>46</v>
      </c>
      <c r="Q987" s="7" t="s">
        <v>25</v>
      </c>
      <c r="R987" s="10">
        <v>7723.79</v>
      </c>
      <c r="S987" s="10">
        <v>754.59</v>
      </c>
      <c r="T987" s="9" t="s">
        <v>33</v>
      </c>
      <c r="U987" s="9"/>
      <c r="V987" s="9"/>
      <c r="W987" s="9"/>
      <c r="X987" s="9"/>
      <c r="Y987" s="9"/>
      <c r="Z987" s="9"/>
      <c r="AA987" s="9"/>
      <c r="AB987" s="9"/>
    </row>
    <row r="988">
      <c r="A988" s="5">
        <v>42624.0</v>
      </c>
      <c r="B988" s="6">
        <v>2016.0</v>
      </c>
      <c r="C988" s="7" t="s">
        <v>78</v>
      </c>
      <c r="D988" s="7" t="s">
        <v>49</v>
      </c>
      <c r="E988" s="7" t="s">
        <v>41</v>
      </c>
      <c r="F988" s="6">
        <v>1211.0</v>
      </c>
      <c r="G988" s="6">
        <v>48831.67</v>
      </c>
      <c r="H988" s="6">
        <v>40.32</v>
      </c>
      <c r="I988" s="8">
        <v>36.345359207266725</v>
      </c>
      <c r="J988" s="6">
        <v>44014.23</v>
      </c>
      <c r="K988" s="6">
        <v>4817.43</v>
      </c>
      <c r="L988" s="6">
        <v>9.87</v>
      </c>
      <c r="M988" s="6">
        <f t="shared" si="1"/>
        <v>3.978059455</v>
      </c>
      <c r="N988" s="6">
        <v>9.87</v>
      </c>
      <c r="O988" s="7" t="s">
        <v>45</v>
      </c>
      <c r="P988" s="7" t="s">
        <v>46</v>
      </c>
      <c r="Q988" s="7" t="s">
        <v>25</v>
      </c>
      <c r="R988" s="10">
        <v>8478.38</v>
      </c>
      <c r="S988" s="10">
        <v>-3660.95</v>
      </c>
      <c r="T988" s="9" t="s">
        <v>29</v>
      </c>
      <c r="U988" s="9"/>
      <c r="V988" s="9"/>
      <c r="W988" s="9"/>
      <c r="X988" s="9"/>
      <c r="Y988" s="9"/>
      <c r="Z988" s="9"/>
      <c r="AA988" s="9"/>
      <c r="AB988" s="9"/>
    </row>
    <row r="989">
      <c r="A989" s="5">
        <v>42625.0</v>
      </c>
      <c r="B989" s="6">
        <v>2016.0</v>
      </c>
      <c r="C989" s="7" t="s">
        <v>78</v>
      </c>
      <c r="D989" s="7" t="s">
        <v>50</v>
      </c>
      <c r="E989" s="7" t="s">
        <v>22</v>
      </c>
      <c r="F989" s="6">
        <v>1291.0</v>
      </c>
      <c r="G989" s="6">
        <v>52075.16</v>
      </c>
      <c r="H989" s="6">
        <v>40.34</v>
      </c>
      <c r="I989" s="8">
        <v>36.316142525174286</v>
      </c>
      <c r="J989" s="6">
        <v>46884.14</v>
      </c>
      <c r="K989" s="6">
        <v>5191.01</v>
      </c>
      <c r="L989" s="6">
        <v>9.97</v>
      </c>
      <c r="M989" s="6">
        <f t="shared" si="1"/>
        <v>4.020921766</v>
      </c>
      <c r="N989" s="6">
        <v>9.97</v>
      </c>
      <c r="O989" s="7" t="s">
        <v>45</v>
      </c>
      <c r="P989" s="7" t="s">
        <v>46</v>
      </c>
      <c r="Q989" s="7" t="s">
        <v>25</v>
      </c>
      <c r="R989" s="10">
        <v>4817.43</v>
      </c>
      <c r="S989" s="10">
        <v>373.58</v>
      </c>
      <c r="T989" s="9" t="s">
        <v>33</v>
      </c>
      <c r="U989" s="9"/>
      <c r="V989" s="9"/>
      <c r="W989" s="9"/>
      <c r="X989" s="9"/>
      <c r="Y989" s="9"/>
      <c r="Z989" s="9"/>
      <c r="AA989" s="9"/>
      <c r="AB989" s="9"/>
    </row>
    <row r="990">
      <c r="A990" s="5">
        <v>42626.0</v>
      </c>
      <c r="B990" s="6">
        <v>2016.0</v>
      </c>
      <c r="C990" s="7" t="s">
        <v>78</v>
      </c>
      <c r="D990" s="7" t="s">
        <v>51</v>
      </c>
      <c r="E990" s="7" t="s">
        <v>28</v>
      </c>
      <c r="F990" s="6">
        <v>755.0</v>
      </c>
      <c r="G990" s="6">
        <v>30424.73</v>
      </c>
      <c r="H990" s="6">
        <v>40.3</v>
      </c>
      <c r="I990" s="8">
        <v>36.28952317880795</v>
      </c>
      <c r="J990" s="6">
        <v>27398.59</v>
      </c>
      <c r="K990" s="6">
        <v>3026.14</v>
      </c>
      <c r="L990" s="6">
        <v>9.95</v>
      </c>
      <c r="M990" s="6">
        <f t="shared" si="1"/>
        <v>4.00813245</v>
      </c>
      <c r="N990" s="6">
        <v>9.95</v>
      </c>
      <c r="O990" s="7" t="s">
        <v>45</v>
      </c>
      <c r="P990" s="7" t="s">
        <v>46</v>
      </c>
      <c r="Q990" s="7" t="s">
        <v>25</v>
      </c>
      <c r="R990" s="10">
        <v>5191.01</v>
      </c>
      <c r="S990" s="10">
        <v>-2164.88</v>
      </c>
      <c r="T990" s="9" t="s">
        <v>29</v>
      </c>
      <c r="U990" s="9"/>
      <c r="V990" s="9"/>
      <c r="W990" s="9"/>
      <c r="X990" s="9"/>
      <c r="Y990" s="9"/>
      <c r="Z990" s="9"/>
      <c r="AA990" s="9"/>
      <c r="AB990" s="9"/>
    </row>
    <row r="991">
      <c r="A991" s="5">
        <v>42627.0</v>
      </c>
      <c r="B991" s="6">
        <v>2016.0</v>
      </c>
      <c r="C991" s="7" t="s">
        <v>78</v>
      </c>
      <c r="D991" s="7" t="s">
        <v>52</v>
      </c>
      <c r="E991" s="7" t="s">
        <v>32</v>
      </c>
      <c r="F991" s="6">
        <v>508.0</v>
      </c>
      <c r="G991" s="6">
        <v>20495.11</v>
      </c>
      <c r="H991" s="6">
        <v>40.34</v>
      </c>
      <c r="I991" s="8">
        <v>36.171358267716535</v>
      </c>
      <c r="J991" s="6">
        <v>18375.05</v>
      </c>
      <c r="K991" s="6">
        <v>2120.06</v>
      </c>
      <c r="L991" s="6">
        <v>10.34</v>
      </c>
      <c r="M991" s="6">
        <f t="shared" si="1"/>
        <v>4.173346457</v>
      </c>
      <c r="N991" s="6">
        <v>10.34</v>
      </c>
      <c r="O991" s="7" t="s">
        <v>45</v>
      </c>
      <c r="P991" s="7" t="s">
        <v>46</v>
      </c>
      <c r="Q991" s="7" t="s">
        <v>25</v>
      </c>
      <c r="R991" s="10">
        <v>3026.14</v>
      </c>
      <c r="S991" s="10">
        <v>-906.08</v>
      </c>
      <c r="T991" s="9" t="s">
        <v>29</v>
      </c>
      <c r="U991" s="9"/>
      <c r="V991" s="9"/>
      <c r="W991" s="9"/>
      <c r="X991" s="9"/>
      <c r="Y991" s="9"/>
      <c r="Z991" s="9"/>
      <c r="AA991" s="9"/>
      <c r="AB991" s="9"/>
    </row>
    <row r="992">
      <c r="A992" s="5">
        <v>42628.0</v>
      </c>
      <c r="B992" s="6">
        <v>2016.0</v>
      </c>
      <c r="C992" s="7" t="s">
        <v>78</v>
      </c>
      <c r="D992" s="7" t="s">
        <v>53</v>
      </c>
      <c r="E992" s="7" t="s">
        <v>35</v>
      </c>
      <c r="F992" s="6">
        <v>1010.0</v>
      </c>
      <c r="G992" s="6">
        <v>40742.17</v>
      </c>
      <c r="H992" s="6">
        <v>40.34</v>
      </c>
      <c r="I992" s="8">
        <v>36.10372277227723</v>
      </c>
      <c r="J992" s="6">
        <v>36464.76</v>
      </c>
      <c r="K992" s="6">
        <v>4277.41</v>
      </c>
      <c r="L992" s="6">
        <v>10.5</v>
      </c>
      <c r="M992" s="6">
        <f t="shared" si="1"/>
        <v>4.235059406</v>
      </c>
      <c r="N992" s="6">
        <v>10.5</v>
      </c>
      <c r="O992" s="7" t="s">
        <v>45</v>
      </c>
      <c r="P992" s="7" t="s">
        <v>46</v>
      </c>
      <c r="Q992" s="7" t="s">
        <v>25</v>
      </c>
      <c r="R992" s="10">
        <v>2120.06</v>
      </c>
      <c r="S992" s="10">
        <v>2157.35</v>
      </c>
      <c r="T992" s="9" t="s">
        <v>33</v>
      </c>
      <c r="U992" s="9"/>
      <c r="V992" s="9"/>
      <c r="W992" s="9"/>
      <c r="X992" s="9"/>
      <c r="Y992" s="9"/>
      <c r="Z992" s="9"/>
      <c r="AA992" s="9"/>
      <c r="AB992" s="9"/>
    </row>
    <row r="993">
      <c r="A993" s="5">
        <v>42629.0</v>
      </c>
      <c r="B993" s="6">
        <v>2016.0</v>
      </c>
      <c r="C993" s="7" t="s">
        <v>78</v>
      </c>
      <c r="D993" s="7" t="s">
        <v>54</v>
      </c>
      <c r="E993" s="7" t="s">
        <v>37</v>
      </c>
      <c r="F993" s="6">
        <v>1733.0</v>
      </c>
      <c r="G993" s="6">
        <v>69864.84</v>
      </c>
      <c r="H993" s="6">
        <v>40.31</v>
      </c>
      <c r="I993" s="8">
        <v>36.090703981534915</v>
      </c>
      <c r="J993" s="6">
        <v>62545.19</v>
      </c>
      <c r="K993" s="6">
        <v>7319.65</v>
      </c>
      <c r="L993" s="6">
        <v>10.48</v>
      </c>
      <c r="M993" s="6">
        <f t="shared" si="1"/>
        <v>4.223687248</v>
      </c>
      <c r="N993" s="6">
        <v>10.48</v>
      </c>
      <c r="O993" s="7" t="s">
        <v>45</v>
      </c>
      <c r="P993" s="7" t="s">
        <v>46</v>
      </c>
      <c r="Q993" s="7" t="s">
        <v>25</v>
      </c>
      <c r="R993" s="10">
        <v>4277.41</v>
      </c>
      <c r="S993" s="10">
        <v>3042.23</v>
      </c>
      <c r="T993" s="9" t="s">
        <v>33</v>
      </c>
      <c r="U993" s="9"/>
      <c r="V993" s="9"/>
      <c r="W993" s="9"/>
      <c r="X993" s="9"/>
      <c r="Y993" s="9"/>
      <c r="Z993" s="9"/>
      <c r="AA993" s="9"/>
      <c r="AB993" s="9"/>
    </row>
    <row r="994">
      <c r="A994" s="5">
        <v>42630.0</v>
      </c>
      <c r="B994" s="6">
        <v>2016.0</v>
      </c>
      <c r="C994" s="7" t="s">
        <v>78</v>
      </c>
      <c r="D994" s="7" t="s">
        <v>55</v>
      </c>
      <c r="E994" s="7" t="s">
        <v>39</v>
      </c>
      <c r="F994" s="6">
        <v>2482.0</v>
      </c>
      <c r="G994" s="6">
        <v>100120.71</v>
      </c>
      <c r="H994" s="6">
        <v>40.34</v>
      </c>
      <c r="I994" s="8">
        <v>36.088803384367445</v>
      </c>
      <c r="J994" s="6">
        <v>89572.41</v>
      </c>
      <c r="K994" s="6">
        <v>10548.3</v>
      </c>
      <c r="L994" s="6">
        <v>10.54</v>
      </c>
      <c r="M994" s="6">
        <f t="shared" si="1"/>
        <v>4.24991942</v>
      </c>
      <c r="N994" s="6">
        <v>10.54</v>
      </c>
      <c r="O994" s="7" t="s">
        <v>45</v>
      </c>
      <c r="P994" s="7" t="s">
        <v>46</v>
      </c>
      <c r="Q994" s="7" t="s">
        <v>25</v>
      </c>
      <c r="R994" s="10">
        <v>7319.65</v>
      </c>
      <c r="S994" s="10">
        <v>3228.66</v>
      </c>
      <c r="T994" s="9" t="s">
        <v>33</v>
      </c>
      <c r="U994" s="9"/>
      <c r="V994" s="9"/>
      <c r="W994" s="9"/>
      <c r="X994" s="9"/>
      <c r="Y994" s="9"/>
      <c r="Z994" s="9"/>
      <c r="AA994" s="9"/>
      <c r="AB994" s="9"/>
    </row>
    <row r="995">
      <c r="A995" s="5">
        <v>42631.0</v>
      </c>
      <c r="B995" s="6">
        <v>2016.0</v>
      </c>
      <c r="C995" s="7" t="s">
        <v>78</v>
      </c>
      <c r="D995" s="7" t="s">
        <v>56</v>
      </c>
      <c r="E995" s="7" t="s">
        <v>41</v>
      </c>
      <c r="F995" s="6">
        <v>1235.0</v>
      </c>
      <c r="G995" s="6">
        <v>49825.1</v>
      </c>
      <c r="H995" s="6">
        <v>40.34</v>
      </c>
      <c r="I995" s="8">
        <v>36.108340080971665</v>
      </c>
      <c r="J995" s="6">
        <v>44593.8</v>
      </c>
      <c r="K995" s="6">
        <v>5231.3</v>
      </c>
      <c r="L995" s="6">
        <v>10.5</v>
      </c>
      <c r="M995" s="6">
        <f t="shared" si="1"/>
        <v>4.235870445</v>
      </c>
      <c r="N995" s="6">
        <v>10.5</v>
      </c>
      <c r="O995" s="7" t="s">
        <v>45</v>
      </c>
      <c r="P995" s="7" t="s">
        <v>46</v>
      </c>
      <c r="Q995" s="7" t="s">
        <v>25</v>
      </c>
      <c r="R995" s="10">
        <v>10548.3</v>
      </c>
      <c r="S995" s="10">
        <v>-5317.0</v>
      </c>
      <c r="T995" s="9" t="s">
        <v>29</v>
      </c>
      <c r="U995" s="9"/>
      <c r="V995" s="9"/>
      <c r="W995" s="9"/>
      <c r="X995" s="9"/>
      <c r="Y995" s="9"/>
      <c r="Z995" s="9"/>
      <c r="AA995" s="9"/>
      <c r="AB995" s="9"/>
    </row>
    <row r="996">
      <c r="A996" s="5">
        <v>42632.0</v>
      </c>
      <c r="B996" s="6">
        <v>2016.0</v>
      </c>
      <c r="C996" s="7" t="s">
        <v>78</v>
      </c>
      <c r="D996" s="7" t="s">
        <v>57</v>
      </c>
      <c r="E996" s="7" t="s">
        <v>22</v>
      </c>
      <c r="F996" s="6">
        <v>1155.0</v>
      </c>
      <c r="G996" s="6">
        <v>46566.46</v>
      </c>
      <c r="H996" s="6">
        <v>40.32</v>
      </c>
      <c r="I996" s="8">
        <v>36.06964502164502</v>
      </c>
      <c r="J996" s="6">
        <v>41660.44</v>
      </c>
      <c r="K996" s="6">
        <v>4906.02</v>
      </c>
      <c r="L996" s="6">
        <v>10.54</v>
      </c>
      <c r="M996" s="6">
        <f t="shared" si="1"/>
        <v>4.247636364</v>
      </c>
      <c r="N996" s="6">
        <v>10.54</v>
      </c>
      <c r="O996" s="7" t="s">
        <v>45</v>
      </c>
      <c r="P996" s="7" t="s">
        <v>46</v>
      </c>
      <c r="Q996" s="7" t="s">
        <v>25</v>
      </c>
      <c r="R996" s="10">
        <v>5231.3</v>
      </c>
      <c r="S996" s="10">
        <v>-325.28</v>
      </c>
      <c r="T996" s="9" t="s">
        <v>29</v>
      </c>
      <c r="U996" s="9"/>
      <c r="V996" s="9"/>
      <c r="W996" s="9"/>
      <c r="X996" s="9"/>
      <c r="Y996" s="9"/>
      <c r="Z996" s="9"/>
      <c r="AA996" s="9"/>
      <c r="AB996" s="9"/>
    </row>
    <row r="997">
      <c r="A997" s="5">
        <v>42633.0</v>
      </c>
      <c r="B997" s="6">
        <v>2016.0</v>
      </c>
      <c r="C997" s="7" t="s">
        <v>78</v>
      </c>
      <c r="D997" s="7" t="s">
        <v>58</v>
      </c>
      <c r="E997" s="7" t="s">
        <v>28</v>
      </c>
      <c r="F997" s="6">
        <v>940.0</v>
      </c>
      <c r="G997" s="6">
        <v>37923.77</v>
      </c>
      <c r="H997" s="6">
        <v>40.34</v>
      </c>
      <c r="I997" s="8">
        <v>36.203351063829786</v>
      </c>
      <c r="J997" s="6">
        <v>34031.15</v>
      </c>
      <c r="K997" s="6">
        <v>3892.62</v>
      </c>
      <c r="L997" s="6">
        <v>10.26</v>
      </c>
      <c r="M997" s="6">
        <f t="shared" si="1"/>
        <v>4.141085106</v>
      </c>
      <c r="N997" s="6">
        <v>10.26</v>
      </c>
      <c r="O997" s="7" t="s">
        <v>45</v>
      </c>
      <c r="P997" s="7" t="s">
        <v>46</v>
      </c>
      <c r="Q997" s="7" t="s">
        <v>25</v>
      </c>
      <c r="R997" s="10">
        <v>4906.02</v>
      </c>
      <c r="S997" s="10">
        <v>-1013.41</v>
      </c>
      <c r="T997" s="9" t="s">
        <v>29</v>
      </c>
      <c r="U997" s="9"/>
      <c r="V997" s="9"/>
      <c r="W997" s="9"/>
      <c r="X997" s="9"/>
      <c r="Y997" s="9"/>
      <c r="Z997" s="9"/>
      <c r="AA997" s="9"/>
      <c r="AB997" s="9"/>
    </row>
    <row r="998">
      <c r="A998" s="5">
        <v>42634.0</v>
      </c>
      <c r="B998" s="6">
        <v>2016.0</v>
      </c>
      <c r="C998" s="7" t="s">
        <v>78</v>
      </c>
      <c r="D998" s="7" t="s">
        <v>59</v>
      </c>
      <c r="E998" s="7" t="s">
        <v>32</v>
      </c>
      <c r="F998" s="6">
        <v>1241.0</v>
      </c>
      <c r="G998" s="6">
        <v>50084.81</v>
      </c>
      <c r="H998" s="6">
        <v>40.36</v>
      </c>
      <c r="I998" s="8">
        <v>36.12587429492345</v>
      </c>
      <c r="J998" s="6">
        <v>44832.21</v>
      </c>
      <c r="K998" s="6">
        <v>5252.6</v>
      </c>
      <c r="L998" s="6">
        <v>10.49</v>
      </c>
      <c r="M998" s="6">
        <f t="shared" si="1"/>
        <v>4.232554392</v>
      </c>
      <c r="N998" s="6">
        <v>10.49</v>
      </c>
      <c r="O998" s="7" t="s">
        <v>45</v>
      </c>
      <c r="P998" s="7" t="s">
        <v>46</v>
      </c>
      <c r="Q998" s="7" t="s">
        <v>25</v>
      </c>
      <c r="R998" s="10">
        <v>3892.62</v>
      </c>
      <c r="S998" s="10">
        <v>1359.98</v>
      </c>
      <c r="T998" s="9" t="s">
        <v>33</v>
      </c>
      <c r="U998" s="9"/>
      <c r="V998" s="9"/>
      <c r="W998" s="9"/>
      <c r="X998" s="9"/>
      <c r="Y998" s="9"/>
      <c r="Z998" s="9"/>
      <c r="AA998" s="9"/>
      <c r="AB998" s="9"/>
    </row>
    <row r="999">
      <c r="A999" s="5">
        <v>42635.0</v>
      </c>
      <c r="B999" s="6">
        <v>2016.0</v>
      </c>
      <c r="C999" s="7" t="s">
        <v>78</v>
      </c>
      <c r="D999" s="7" t="s">
        <v>60</v>
      </c>
      <c r="E999" s="7" t="s">
        <v>35</v>
      </c>
      <c r="F999" s="6">
        <v>1039.0</v>
      </c>
      <c r="G999" s="6">
        <v>41885.83</v>
      </c>
      <c r="H999" s="6">
        <v>40.31</v>
      </c>
      <c r="I999" s="8">
        <v>36.15541867179981</v>
      </c>
      <c r="J999" s="6">
        <v>37565.48</v>
      </c>
      <c r="K999" s="6">
        <v>4320.35</v>
      </c>
      <c r="L999" s="6">
        <v>10.31</v>
      </c>
      <c r="M999" s="6">
        <f t="shared" si="1"/>
        <v>4.158180943</v>
      </c>
      <c r="N999" s="6">
        <v>10.31</v>
      </c>
      <c r="O999" s="7" t="s">
        <v>45</v>
      </c>
      <c r="P999" s="7" t="s">
        <v>46</v>
      </c>
      <c r="Q999" s="7" t="s">
        <v>25</v>
      </c>
      <c r="R999" s="10">
        <v>5252.6</v>
      </c>
      <c r="S999" s="10">
        <v>-932.25</v>
      </c>
      <c r="T999" s="9" t="s">
        <v>29</v>
      </c>
      <c r="U999" s="9"/>
      <c r="V999" s="9"/>
      <c r="W999" s="9"/>
      <c r="X999" s="9"/>
      <c r="Y999" s="9"/>
      <c r="Z999" s="9"/>
      <c r="AA999" s="9"/>
      <c r="AB999" s="9"/>
    </row>
    <row r="1000">
      <c r="A1000" s="5">
        <v>42636.0</v>
      </c>
      <c r="B1000" s="6">
        <v>2016.0</v>
      </c>
      <c r="C1000" s="7" t="s">
        <v>78</v>
      </c>
      <c r="D1000" s="7" t="s">
        <v>61</v>
      </c>
      <c r="E1000" s="7" t="s">
        <v>37</v>
      </c>
      <c r="F1000" s="6">
        <v>3657.0</v>
      </c>
      <c r="G1000" s="6">
        <v>147503.57</v>
      </c>
      <c r="H1000" s="6">
        <v>40.33</v>
      </c>
      <c r="I1000" s="8">
        <v>36.08545802570413</v>
      </c>
      <c r="J1000" s="6">
        <v>131964.52</v>
      </c>
      <c r="K1000" s="6">
        <v>15539.06</v>
      </c>
      <c r="L1000" s="6">
        <v>10.53</v>
      </c>
      <c r="M1000" s="6">
        <f t="shared" si="1"/>
        <v>4.2491277</v>
      </c>
      <c r="N1000" s="6">
        <v>10.53</v>
      </c>
      <c r="O1000" s="7" t="s">
        <v>45</v>
      </c>
      <c r="P1000" s="7" t="s">
        <v>46</v>
      </c>
      <c r="Q1000" s="7" t="s">
        <v>25</v>
      </c>
      <c r="R1000" s="10">
        <v>4320.35</v>
      </c>
      <c r="S1000" s="10">
        <v>11218.71</v>
      </c>
      <c r="T1000" s="9" t="s">
        <v>33</v>
      </c>
      <c r="U1000" s="9"/>
      <c r="V1000" s="9"/>
      <c r="W1000" s="9"/>
      <c r="X1000" s="9"/>
      <c r="Y1000" s="9"/>
      <c r="Z1000" s="9"/>
      <c r="AA1000" s="9"/>
      <c r="AB1000" s="9"/>
    </row>
    <row r="1001">
      <c r="A1001" s="5">
        <v>42637.0</v>
      </c>
      <c r="B1001" s="6">
        <v>2016.0</v>
      </c>
      <c r="C1001" s="7" t="s">
        <v>78</v>
      </c>
      <c r="D1001" s="7" t="s">
        <v>62</v>
      </c>
      <c r="E1001" s="7" t="s">
        <v>39</v>
      </c>
      <c r="F1001" s="6">
        <v>3758.0</v>
      </c>
      <c r="G1001" s="6">
        <v>151639.18</v>
      </c>
      <c r="H1001" s="6">
        <v>40.35</v>
      </c>
      <c r="I1001" s="8">
        <v>36.05592336349122</v>
      </c>
      <c r="J1001" s="6">
        <v>135498.16</v>
      </c>
      <c r="K1001" s="6">
        <v>16141.02</v>
      </c>
      <c r="L1001" s="6">
        <v>10.64</v>
      </c>
      <c r="M1001" s="6">
        <f t="shared" si="1"/>
        <v>4.295109101</v>
      </c>
      <c r="N1001" s="6">
        <v>10.64</v>
      </c>
      <c r="O1001" s="7" t="s">
        <v>45</v>
      </c>
      <c r="P1001" s="7" t="s">
        <v>46</v>
      </c>
      <c r="Q1001" s="7" t="s">
        <v>25</v>
      </c>
      <c r="R1001" s="10">
        <v>15539.06</v>
      </c>
      <c r="S1001" s="10">
        <v>601.96</v>
      </c>
      <c r="T1001" s="9" t="s">
        <v>33</v>
      </c>
      <c r="U1001" s="9"/>
      <c r="V1001" s="9"/>
      <c r="W1001" s="9"/>
      <c r="X1001" s="9"/>
      <c r="Y1001" s="9"/>
      <c r="Z1001" s="9"/>
      <c r="AA1001" s="9"/>
      <c r="AB1001" s="9"/>
    </row>
    <row r="1002">
      <c r="A1002" s="5">
        <v>42638.0</v>
      </c>
      <c r="B1002" s="6">
        <v>2016.0</v>
      </c>
      <c r="C1002" s="7" t="s">
        <v>78</v>
      </c>
      <c r="D1002" s="7" t="s">
        <v>63</v>
      </c>
      <c r="E1002" s="7" t="s">
        <v>41</v>
      </c>
      <c r="F1002" s="6">
        <v>1797.0</v>
      </c>
      <c r="G1002" s="6">
        <v>72457.3</v>
      </c>
      <c r="H1002" s="6">
        <v>40.32</v>
      </c>
      <c r="I1002" s="8">
        <v>36.0370061213133</v>
      </c>
      <c r="J1002" s="6">
        <v>64758.5</v>
      </c>
      <c r="K1002" s="6">
        <v>7698.79</v>
      </c>
      <c r="L1002" s="6">
        <v>10.63</v>
      </c>
      <c r="M1002" s="6">
        <f t="shared" si="1"/>
        <v>4.284245965</v>
      </c>
      <c r="N1002" s="6">
        <v>10.63</v>
      </c>
      <c r="O1002" s="7" t="s">
        <v>45</v>
      </c>
      <c r="P1002" s="7" t="s">
        <v>46</v>
      </c>
      <c r="Q1002" s="7" t="s">
        <v>25</v>
      </c>
      <c r="R1002" s="10">
        <v>16141.02</v>
      </c>
      <c r="S1002" s="10">
        <v>-8442.23</v>
      </c>
      <c r="T1002" s="9" t="s">
        <v>29</v>
      </c>
      <c r="U1002" s="9"/>
      <c r="V1002" s="9"/>
      <c r="W1002" s="9"/>
      <c r="X1002" s="9"/>
      <c r="Y1002" s="9"/>
      <c r="Z1002" s="9"/>
      <c r="AA1002" s="9"/>
      <c r="AB1002" s="9"/>
    </row>
    <row r="1003">
      <c r="A1003" s="5">
        <v>42639.0</v>
      </c>
      <c r="B1003" s="6">
        <v>2016.0</v>
      </c>
      <c r="C1003" s="7" t="s">
        <v>78</v>
      </c>
      <c r="D1003" s="7" t="s">
        <v>64</v>
      </c>
      <c r="E1003" s="7" t="s">
        <v>22</v>
      </c>
      <c r="F1003" s="6">
        <v>1671.0</v>
      </c>
      <c r="G1003" s="6">
        <v>67355.06</v>
      </c>
      <c r="H1003" s="6">
        <v>40.31</v>
      </c>
      <c r="I1003" s="8">
        <v>36.013776181926985</v>
      </c>
      <c r="J1003" s="6">
        <v>60179.02</v>
      </c>
      <c r="K1003" s="6">
        <v>7176.04</v>
      </c>
      <c r="L1003" s="6">
        <v>10.65</v>
      </c>
      <c r="M1003" s="6">
        <f t="shared" si="1"/>
        <v>4.294458408</v>
      </c>
      <c r="N1003" s="6">
        <v>10.65</v>
      </c>
      <c r="O1003" s="7" t="s">
        <v>45</v>
      </c>
      <c r="P1003" s="7" t="s">
        <v>46</v>
      </c>
      <c r="Q1003" s="7" t="s">
        <v>25</v>
      </c>
      <c r="R1003" s="10">
        <v>7698.79</v>
      </c>
      <c r="S1003" s="10">
        <v>-522.75</v>
      </c>
      <c r="T1003" s="9" t="s">
        <v>29</v>
      </c>
      <c r="U1003" s="9"/>
      <c r="V1003" s="9"/>
      <c r="W1003" s="9"/>
      <c r="X1003" s="9"/>
      <c r="Y1003" s="9"/>
      <c r="Z1003" s="9"/>
      <c r="AA1003" s="9"/>
      <c r="AB1003" s="9"/>
    </row>
    <row r="1004">
      <c r="A1004" s="5">
        <v>42640.0</v>
      </c>
      <c r="B1004" s="6">
        <v>2016.0</v>
      </c>
      <c r="C1004" s="7" t="s">
        <v>78</v>
      </c>
      <c r="D1004" s="7" t="s">
        <v>65</v>
      </c>
      <c r="E1004" s="7" t="s">
        <v>28</v>
      </c>
      <c r="F1004" s="6">
        <v>1462.0</v>
      </c>
      <c r="G1004" s="6">
        <v>58941.79</v>
      </c>
      <c r="H1004" s="6">
        <v>40.32</v>
      </c>
      <c r="I1004" s="8">
        <v>36.12365253077975</v>
      </c>
      <c r="J1004" s="6">
        <v>52812.78</v>
      </c>
      <c r="K1004" s="6">
        <v>6129.01</v>
      </c>
      <c r="L1004" s="6">
        <v>10.4</v>
      </c>
      <c r="M1004" s="6">
        <f t="shared" si="1"/>
        <v>4.192209302</v>
      </c>
      <c r="N1004" s="6">
        <v>10.4</v>
      </c>
      <c r="O1004" s="7" t="s">
        <v>45</v>
      </c>
      <c r="P1004" s="7" t="s">
        <v>46</v>
      </c>
      <c r="Q1004" s="7" t="s">
        <v>25</v>
      </c>
      <c r="R1004" s="10">
        <v>7176.04</v>
      </c>
      <c r="S1004" s="10">
        <v>-1047.03</v>
      </c>
      <c r="T1004" s="9" t="s">
        <v>29</v>
      </c>
      <c r="U1004" s="9"/>
      <c r="V1004" s="9"/>
      <c r="W1004" s="9"/>
      <c r="X1004" s="9"/>
      <c r="Y1004" s="9"/>
      <c r="Z1004" s="9"/>
      <c r="AA1004" s="9"/>
      <c r="AB1004" s="9"/>
    </row>
    <row r="1005">
      <c r="A1005" s="5">
        <v>42641.0</v>
      </c>
      <c r="B1005" s="6">
        <v>2016.0</v>
      </c>
      <c r="C1005" s="7" t="s">
        <v>78</v>
      </c>
      <c r="D1005" s="7" t="s">
        <v>66</v>
      </c>
      <c r="E1005" s="7" t="s">
        <v>32</v>
      </c>
      <c r="F1005" s="6">
        <v>1581.0</v>
      </c>
      <c r="G1005" s="6">
        <v>58796.79</v>
      </c>
      <c r="H1005" s="6">
        <v>37.19</v>
      </c>
      <c r="I1005" s="8">
        <v>36.15974699557242</v>
      </c>
      <c r="J1005" s="6">
        <v>57168.56</v>
      </c>
      <c r="K1005" s="6">
        <v>1628.22</v>
      </c>
      <c r="L1005" s="6">
        <v>2.77</v>
      </c>
      <c r="M1005" s="6">
        <f t="shared" si="1"/>
        <v>1.029867173</v>
      </c>
      <c r="N1005" s="6">
        <v>2.77</v>
      </c>
      <c r="O1005" s="7" t="s">
        <v>45</v>
      </c>
      <c r="P1005" s="7" t="s">
        <v>46</v>
      </c>
      <c r="Q1005" s="7" t="s">
        <v>25</v>
      </c>
      <c r="R1005" s="10">
        <v>6129.01</v>
      </c>
      <c r="S1005" s="10">
        <v>-4500.79</v>
      </c>
      <c r="T1005" s="9" t="s">
        <v>29</v>
      </c>
      <c r="U1005" s="9"/>
      <c r="V1005" s="9"/>
      <c r="W1005" s="9"/>
      <c r="X1005" s="9"/>
      <c r="Y1005" s="9"/>
      <c r="Z1005" s="9"/>
      <c r="AA1005" s="9"/>
      <c r="AB1005" s="9"/>
    </row>
    <row r="1006">
      <c r="A1006" s="5">
        <v>42642.0</v>
      </c>
      <c r="B1006" s="6">
        <v>2016.0</v>
      </c>
      <c r="C1006" s="7" t="s">
        <v>78</v>
      </c>
      <c r="D1006" s="7" t="s">
        <v>67</v>
      </c>
      <c r="E1006" s="7" t="s">
        <v>35</v>
      </c>
      <c r="F1006" s="6">
        <v>1534.0</v>
      </c>
      <c r="G1006" s="6">
        <v>57019.39</v>
      </c>
      <c r="H1006" s="6">
        <v>37.17</v>
      </c>
      <c r="I1006" s="8">
        <v>35.976127770534546</v>
      </c>
      <c r="J1006" s="6">
        <v>55187.38</v>
      </c>
      <c r="K1006" s="6">
        <v>1832.01</v>
      </c>
      <c r="L1006" s="6">
        <v>3.21</v>
      </c>
      <c r="M1006" s="6">
        <f t="shared" si="1"/>
        <v>1.194269883</v>
      </c>
      <c r="N1006" s="6">
        <v>3.21</v>
      </c>
      <c r="O1006" s="7" t="s">
        <v>45</v>
      </c>
      <c r="P1006" s="7" t="s">
        <v>46</v>
      </c>
      <c r="Q1006" s="7" t="s">
        <v>25</v>
      </c>
      <c r="R1006" s="10">
        <v>1628.22</v>
      </c>
      <c r="S1006" s="10">
        <v>203.78</v>
      </c>
      <c r="T1006" s="9" t="s">
        <v>33</v>
      </c>
      <c r="U1006" s="9"/>
      <c r="V1006" s="9"/>
      <c r="W1006" s="9"/>
      <c r="X1006" s="9"/>
      <c r="Y1006" s="9"/>
      <c r="Z1006" s="9"/>
      <c r="AA1006" s="9"/>
      <c r="AB1006" s="9"/>
    </row>
    <row r="1007">
      <c r="A1007" s="5">
        <v>42643.0</v>
      </c>
      <c r="B1007" s="6">
        <v>2016.0</v>
      </c>
      <c r="C1007" s="7" t="s">
        <v>78</v>
      </c>
      <c r="D1007" s="7" t="s">
        <v>21</v>
      </c>
      <c r="E1007" s="7" t="s">
        <v>37</v>
      </c>
      <c r="F1007" s="6">
        <v>4216.0</v>
      </c>
      <c r="G1007" s="6">
        <v>155918.38</v>
      </c>
      <c r="H1007" s="6">
        <v>36.98</v>
      </c>
      <c r="I1007" s="8">
        <v>35.82458491461101</v>
      </c>
      <c r="J1007" s="6">
        <v>151036.45</v>
      </c>
      <c r="K1007" s="6">
        <v>4881.94</v>
      </c>
      <c r="L1007" s="6">
        <v>3.13</v>
      </c>
      <c r="M1007" s="6">
        <f t="shared" si="1"/>
        <v>1.157955408</v>
      </c>
      <c r="N1007" s="6">
        <v>3.13</v>
      </c>
      <c r="O1007" s="7" t="s">
        <v>45</v>
      </c>
      <c r="P1007" s="7" t="s">
        <v>46</v>
      </c>
      <c r="Q1007" s="7" t="s">
        <v>25</v>
      </c>
      <c r="R1007" s="10">
        <v>1832.01</v>
      </c>
      <c r="S1007" s="10">
        <v>3049.93</v>
      </c>
      <c r="T1007" s="9" t="s">
        <v>33</v>
      </c>
      <c r="U1007" s="9"/>
      <c r="V1007" s="9"/>
      <c r="W1007" s="9"/>
      <c r="X1007" s="9"/>
      <c r="Y1007" s="9"/>
      <c r="Z1007" s="9"/>
      <c r="AA1007" s="9"/>
      <c r="AB1007" s="9"/>
    </row>
    <row r="1008">
      <c r="A1008" s="5">
        <v>42644.0</v>
      </c>
      <c r="B1008" s="6">
        <v>2016.0</v>
      </c>
      <c r="C1008" s="7" t="s">
        <v>79</v>
      </c>
      <c r="D1008" s="7" t="s">
        <v>31</v>
      </c>
      <c r="E1008" s="7" t="s">
        <v>39</v>
      </c>
      <c r="F1008" s="6">
        <v>5632.0</v>
      </c>
      <c r="G1008" s="6">
        <v>208489.09</v>
      </c>
      <c r="H1008" s="6">
        <v>37.02</v>
      </c>
      <c r="I1008" s="8">
        <v>35.762933238636364</v>
      </c>
      <c r="J1008" s="6">
        <v>201416.84</v>
      </c>
      <c r="K1008" s="6">
        <v>7072.25</v>
      </c>
      <c r="L1008" s="6">
        <v>3.39</v>
      </c>
      <c r="M1008" s="6">
        <f t="shared" si="1"/>
        <v>1.255726207</v>
      </c>
      <c r="N1008" s="6">
        <v>3.39</v>
      </c>
      <c r="O1008" s="7" t="s">
        <v>45</v>
      </c>
      <c r="P1008" s="7" t="s">
        <v>46</v>
      </c>
      <c r="Q1008" s="7" t="s">
        <v>25</v>
      </c>
      <c r="R1008" s="10">
        <v>4881.94</v>
      </c>
      <c r="S1008" s="10">
        <v>2190.32</v>
      </c>
      <c r="T1008" s="9" t="s">
        <v>33</v>
      </c>
      <c r="U1008" s="9"/>
      <c r="V1008" s="9"/>
      <c r="W1008" s="9"/>
      <c r="X1008" s="9"/>
      <c r="Y1008" s="9"/>
      <c r="Z1008" s="9"/>
      <c r="AA1008" s="9"/>
      <c r="AB1008" s="9"/>
    </row>
    <row r="1009">
      <c r="A1009" s="5">
        <v>42645.0</v>
      </c>
      <c r="B1009" s="6">
        <v>2016.0</v>
      </c>
      <c r="C1009" s="7" t="s">
        <v>79</v>
      </c>
      <c r="D1009" s="7" t="s">
        <v>34</v>
      </c>
      <c r="E1009" s="7" t="s">
        <v>41</v>
      </c>
      <c r="F1009" s="6">
        <v>3173.0</v>
      </c>
      <c r="G1009" s="6">
        <v>118580.47</v>
      </c>
      <c r="H1009" s="6">
        <v>37.37</v>
      </c>
      <c r="I1009" s="8">
        <v>35.72233217774976</v>
      </c>
      <c r="J1009" s="6">
        <v>113346.96</v>
      </c>
      <c r="K1009" s="6">
        <v>5233.52</v>
      </c>
      <c r="L1009" s="6">
        <v>4.41</v>
      </c>
      <c r="M1009" s="6">
        <f t="shared" si="1"/>
        <v>1.649391743</v>
      </c>
      <c r="N1009" s="6">
        <v>4.41</v>
      </c>
      <c r="O1009" s="7" t="s">
        <v>45</v>
      </c>
      <c r="P1009" s="7" t="s">
        <v>46</v>
      </c>
      <c r="Q1009" s="7" t="s">
        <v>25</v>
      </c>
      <c r="R1009" s="10">
        <v>7072.25</v>
      </c>
      <c r="S1009" s="10">
        <v>-1838.74</v>
      </c>
      <c r="T1009" s="9" t="s">
        <v>29</v>
      </c>
      <c r="U1009" s="9"/>
      <c r="V1009" s="9"/>
      <c r="W1009" s="9"/>
      <c r="X1009" s="9"/>
      <c r="Y1009" s="9"/>
      <c r="Z1009" s="9"/>
      <c r="AA1009" s="9"/>
      <c r="AB1009" s="9"/>
    </row>
    <row r="1010">
      <c r="A1010" s="5">
        <v>42646.0</v>
      </c>
      <c r="B1010" s="6">
        <v>2016.0</v>
      </c>
      <c r="C1010" s="7" t="s">
        <v>79</v>
      </c>
      <c r="D1010" s="7" t="s">
        <v>36</v>
      </c>
      <c r="E1010" s="7" t="s">
        <v>22</v>
      </c>
      <c r="F1010" s="6">
        <v>3540.0</v>
      </c>
      <c r="G1010" s="6">
        <v>142758.88</v>
      </c>
      <c r="H1010" s="6">
        <v>40.33</v>
      </c>
      <c r="I1010" s="8">
        <v>35.736254237288136</v>
      </c>
      <c r="J1010" s="6">
        <v>126506.34</v>
      </c>
      <c r="K1010" s="6">
        <v>16252.54</v>
      </c>
      <c r="L1010" s="6">
        <v>11.38</v>
      </c>
      <c r="M1010" s="6">
        <f t="shared" si="1"/>
        <v>4.591112994</v>
      </c>
      <c r="N1010" s="6">
        <v>11.38</v>
      </c>
      <c r="O1010" s="7" t="s">
        <v>45</v>
      </c>
      <c r="P1010" s="7" t="s">
        <v>46</v>
      </c>
      <c r="Q1010" s="7" t="s">
        <v>25</v>
      </c>
      <c r="R1010" s="10">
        <v>5233.52</v>
      </c>
      <c r="S1010" s="10">
        <v>11019.02</v>
      </c>
      <c r="T1010" s="9" t="s">
        <v>33</v>
      </c>
      <c r="U1010" s="9"/>
      <c r="V1010" s="9"/>
      <c r="W1010" s="9"/>
      <c r="X1010" s="9"/>
      <c r="Y1010" s="9"/>
      <c r="Z1010" s="9"/>
      <c r="AA1010" s="9"/>
      <c r="AB1010" s="9"/>
    </row>
    <row r="1011">
      <c r="A1011" s="5">
        <v>42647.0</v>
      </c>
      <c r="B1011" s="6">
        <v>2016.0</v>
      </c>
      <c r="C1011" s="7" t="s">
        <v>79</v>
      </c>
      <c r="D1011" s="7" t="s">
        <v>38</v>
      </c>
      <c r="E1011" s="7" t="s">
        <v>28</v>
      </c>
      <c r="F1011" s="6">
        <v>2397.0</v>
      </c>
      <c r="G1011" s="6">
        <v>96620.99</v>
      </c>
      <c r="H1011" s="6">
        <v>40.31</v>
      </c>
      <c r="I1011" s="8">
        <v>35.666178556529</v>
      </c>
      <c r="J1011" s="6">
        <v>85491.83</v>
      </c>
      <c r="K1011" s="6">
        <v>11129.15</v>
      </c>
      <c r="L1011" s="6">
        <v>11.52</v>
      </c>
      <c r="M1011" s="6">
        <f t="shared" si="1"/>
        <v>4.64294952</v>
      </c>
      <c r="N1011" s="6">
        <v>11.52</v>
      </c>
      <c r="O1011" s="7" t="s">
        <v>45</v>
      </c>
      <c r="P1011" s="7" t="s">
        <v>46</v>
      </c>
      <c r="Q1011" s="7" t="s">
        <v>25</v>
      </c>
      <c r="R1011" s="10">
        <v>16252.54</v>
      </c>
      <c r="S1011" s="10">
        <v>-5123.38</v>
      </c>
      <c r="T1011" s="9" t="s">
        <v>29</v>
      </c>
      <c r="U1011" s="9"/>
      <c r="V1011" s="9"/>
      <c r="W1011" s="9"/>
      <c r="X1011" s="9"/>
      <c r="Y1011" s="9"/>
      <c r="Z1011" s="9"/>
      <c r="AA1011" s="9"/>
      <c r="AB1011" s="9"/>
    </row>
    <row r="1012">
      <c r="A1012" s="5">
        <v>42648.0</v>
      </c>
      <c r="B1012" s="6">
        <v>2016.0</v>
      </c>
      <c r="C1012" s="7" t="s">
        <v>79</v>
      </c>
      <c r="D1012" s="7" t="s">
        <v>40</v>
      </c>
      <c r="E1012" s="7" t="s">
        <v>32</v>
      </c>
      <c r="F1012" s="6">
        <v>1955.0</v>
      </c>
      <c r="G1012" s="6">
        <v>78861.59</v>
      </c>
      <c r="H1012" s="6">
        <v>40.34</v>
      </c>
      <c r="I1012" s="8">
        <v>35.63960613810741</v>
      </c>
      <c r="J1012" s="6">
        <v>69675.43</v>
      </c>
      <c r="K1012" s="6">
        <v>9186.17</v>
      </c>
      <c r="L1012" s="6">
        <v>11.65</v>
      </c>
      <c r="M1012" s="6">
        <f t="shared" si="1"/>
        <v>4.698808184</v>
      </c>
      <c r="N1012" s="6">
        <v>11.65</v>
      </c>
      <c r="O1012" s="7" t="s">
        <v>45</v>
      </c>
      <c r="P1012" s="7" t="s">
        <v>46</v>
      </c>
      <c r="Q1012" s="7" t="s">
        <v>25</v>
      </c>
      <c r="R1012" s="10">
        <v>11129.15</v>
      </c>
      <c r="S1012" s="10">
        <v>-1942.99</v>
      </c>
      <c r="T1012" s="9" t="s">
        <v>29</v>
      </c>
      <c r="U1012" s="9"/>
      <c r="V1012" s="9"/>
      <c r="W1012" s="9"/>
      <c r="X1012" s="9"/>
      <c r="Y1012" s="9"/>
      <c r="Z1012" s="9"/>
      <c r="AA1012" s="9"/>
      <c r="AB1012" s="9"/>
    </row>
    <row r="1013">
      <c r="A1013" s="5">
        <v>42649.0</v>
      </c>
      <c r="B1013" s="6">
        <v>2016.0</v>
      </c>
      <c r="C1013" s="7" t="s">
        <v>79</v>
      </c>
      <c r="D1013" s="7" t="s">
        <v>42</v>
      </c>
      <c r="E1013" s="7" t="s">
        <v>35</v>
      </c>
      <c r="F1013" s="6">
        <v>1740.0</v>
      </c>
      <c r="G1013" s="6">
        <v>70279.47</v>
      </c>
      <c r="H1013" s="6">
        <v>40.39</v>
      </c>
      <c r="I1013" s="8">
        <v>35.61856896551724</v>
      </c>
      <c r="J1013" s="6">
        <v>61976.31</v>
      </c>
      <c r="K1013" s="6">
        <v>8303.17</v>
      </c>
      <c r="L1013" s="6">
        <v>11.81</v>
      </c>
      <c r="M1013" s="6">
        <f t="shared" si="1"/>
        <v>4.771936782</v>
      </c>
      <c r="N1013" s="6">
        <v>11.81</v>
      </c>
      <c r="O1013" s="7" t="s">
        <v>45</v>
      </c>
      <c r="P1013" s="7" t="s">
        <v>46</v>
      </c>
      <c r="Q1013" s="7" t="s">
        <v>25</v>
      </c>
      <c r="R1013" s="10">
        <v>9186.17</v>
      </c>
      <c r="S1013" s="10">
        <v>-883.0</v>
      </c>
      <c r="T1013" s="9" t="s">
        <v>29</v>
      </c>
      <c r="U1013" s="9"/>
      <c r="V1013" s="9"/>
      <c r="W1013" s="9"/>
      <c r="X1013" s="9"/>
      <c r="Y1013" s="9"/>
      <c r="Z1013" s="9"/>
      <c r="AA1013" s="9"/>
      <c r="AB1013" s="9"/>
    </row>
    <row r="1014">
      <c r="A1014" s="5">
        <v>42650.0</v>
      </c>
      <c r="B1014" s="6">
        <v>2016.0</v>
      </c>
      <c r="C1014" s="7" t="s">
        <v>79</v>
      </c>
      <c r="D1014" s="7" t="s">
        <v>43</v>
      </c>
      <c r="E1014" s="7" t="s">
        <v>37</v>
      </c>
      <c r="F1014" s="6">
        <v>2176.0</v>
      </c>
      <c r="G1014" s="6">
        <v>87748.86</v>
      </c>
      <c r="H1014" s="6">
        <v>40.33</v>
      </c>
      <c r="I1014" s="8">
        <v>35.59127297794117</v>
      </c>
      <c r="J1014" s="6">
        <v>77446.61</v>
      </c>
      <c r="K1014" s="6">
        <v>10302.25</v>
      </c>
      <c r="L1014" s="6">
        <v>11.74</v>
      </c>
      <c r="M1014" s="6">
        <f t="shared" si="1"/>
        <v>4.73448989</v>
      </c>
      <c r="N1014" s="6">
        <v>11.74</v>
      </c>
      <c r="O1014" s="7" t="s">
        <v>45</v>
      </c>
      <c r="P1014" s="7" t="s">
        <v>46</v>
      </c>
      <c r="Q1014" s="7" t="s">
        <v>25</v>
      </c>
      <c r="R1014" s="10">
        <v>8303.17</v>
      </c>
      <c r="S1014" s="10">
        <v>1999.08</v>
      </c>
      <c r="T1014" s="9" t="s">
        <v>33</v>
      </c>
      <c r="U1014" s="9"/>
      <c r="V1014" s="9"/>
      <c r="W1014" s="9"/>
      <c r="X1014" s="9"/>
      <c r="Y1014" s="9"/>
      <c r="Z1014" s="9"/>
      <c r="AA1014" s="9"/>
      <c r="AB1014" s="9"/>
    </row>
    <row r="1015">
      <c r="A1015" s="5">
        <v>42651.0</v>
      </c>
      <c r="B1015" s="6">
        <v>2016.0</v>
      </c>
      <c r="C1015" s="7" t="s">
        <v>79</v>
      </c>
      <c r="D1015" s="7" t="s">
        <v>44</v>
      </c>
      <c r="E1015" s="7" t="s">
        <v>39</v>
      </c>
      <c r="F1015" s="6">
        <v>2283.0</v>
      </c>
      <c r="G1015" s="6">
        <v>92053.33</v>
      </c>
      <c r="H1015" s="6">
        <v>40.32</v>
      </c>
      <c r="I1015" s="8">
        <v>35.57128777923784</v>
      </c>
      <c r="J1015" s="6">
        <v>81209.25</v>
      </c>
      <c r="K1015" s="6">
        <v>10844.08</v>
      </c>
      <c r="L1015" s="6">
        <v>11.78</v>
      </c>
      <c r="M1015" s="6">
        <f t="shared" si="1"/>
        <v>4.749925537</v>
      </c>
      <c r="N1015" s="6">
        <v>11.78</v>
      </c>
      <c r="O1015" s="7" t="s">
        <v>45</v>
      </c>
      <c r="P1015" s="7" t="s">
        <v>46</v>
      </c>
      <c r="Q1015" s="7" t="s">
        <v>25</v>
      </c>
      <c r="R1015" s="10">
        <v>10302.25</v>
      </c>
      <c r="S1015" s="10">
        <v>541.82</v>
      </c>
      <c r="T1015" s="9" t="s">
        <v>33</v>
      </c>
      <c r="U1015" s="9"/>
      <c r="V1015" s="9"/>
      <c r="W1015" s="9"/>
      <c r="X1015" s="9"/>
      <c r="Y1015" s="9"/>
      <c r="Z1015" s="9"/>
      <c r="AA1015" s="9"/>
      <c r="AB1015" s="9"/>
    </row>
    <row r="1016">
      <c r="A1016" s="5">
        <v>42652.0</v>
      </c>
      <c r="B1016" s="6">
        <v>2016.0</v>
      </c>
      <c r="C1016" s="7" t="s">
        <v>79</v>
      </c>
      <c r="D1016" s="7" t="s">
        <v>47</v>
      </c>
      <c r="E1016" s="7" t="s">
        <v>41</v>
      </c>
      <c r="F1016" s="6">
        <v>1284.0</v>
      </c>
      <c r="G1016" s="6">
        <v>51751.38</v>
      </c>
      <c r="H1016" s="6">
        <v>40.3</v>
      </c>
      <c r="I1016" s="8">
        <v>35.51964953271028</v>
      </c>
      <c r="J1016" s="6">
        <v>45607.23</v>
      </c>
      <c r="K1016" s="6">
        <v>6144.15</v>
      </c>
      <c r="L1016" s="6">
        <v>11.87</v>
      </c>
      <c r="M1016" s="6">
        <f t="shared" si="1"/>
        <v>4.785163551</v>
      </c>
      <c r="N1016" s="6">
        <v>11.87</v>
      </c>
      <c r="O1016" s="7" t="s">
        <v>45</v>
      </c>
      <c r="P1016" s="7" t="s">
        <v>46</v>
      </c>
      <c r="Q1016" s="7" t="s">
        <v>25</v>
      </c>
      <c r="R1016" s="10">
        <v>10844.08</v>
      </c>
      <c r="S1016" s="10">
        <v>-4699.93</v>
      </c>
      <c r="T1016" s="9" t="s">
        <v>29</v>
      </c>
      <c r="U1016" s="9"/>
      <c r="V1016" s="9"/>
      <c r="W1016" s="9"/>
      <c r="X1016" s="9"/>
      <c r="Y1016" s="9"/>
      <c r="Z1016" s="9"/>
      <c r="AA1016" s="9"/>
      <c r="AB1016" s="9"/>
    </row>
    <row r="1017">
      <c r="A1017" s="5">
        <v>42653.0</v>
      </c>
      <c r="B1017" s="6">
        <v>2016.0</v>
      </c>
      <c r="C1017" s="7" t="s">
        <v>79</v>
      </c>
      <c r="D1017" s="7" t="s">
        <v>48</v>
      </c>
      <c r="E1017" s="7" t="s">
        <v>22</v>
      </c>
      <c r="F1017" s="6">
        <v>1263.0</v>
      </c>
      <c r="G1017" s="6">
        <v>50934.98</v>
      </c>
      <c r="H1017" s="6">
        <v>40.33</v>
      </c>
      <c r="I1017" s="8">
        <v>35.61661124307205</v>
      </c>
      <c r="J1017" s="6">
        <v>44983.78</v>
      </c>
      <c r="K1017" s="6">
        <v>5951.21</v>
      </c>
      <c r="L1017" s="6">
        <v>11.68</v>
      </c>
      <c r="M1017" s="6">
        <f t="shared" si="1"/>
        <v>4.711963579</v>
      </c>
      <c r="N1017" s="6">
        <v>11.68</v>
      </c>
      <c r="O1017" s="7" t="s">
        <v>45</v>
      </c>
      <c r="P1017" s="7" t="s">
        <v>46</v>
      </c>
      <c r="Q1017" s="7" t="s">
        <v>25</v>
      </c>
      <c r="R1017" s="10">
        <v>6144.15</v>
      </c>
      <c r="S1017" s="10">
        <v>-192.94</v>
      </c>
      <c r="T1017" s="9" t="s">
        <v>29</v>
      </c>
      <c r="U1017" s="9"/>
      <c r="V1017" s="9"/>
      <c r="W1017" s="9"/>
      <c r="X1017" s="9"/>
      <c r="Y1017" s="9"/>
      <c r="Z1017" s="9"/>
      <c r="AA1017" s="9"/>
      <c r="AB1017" s="9"/>
    </row>
    <row r="1018">
      <c r="A1018" s="5">
        <v>42654.0</v>
      </c>
      <c r="B1018" s="6">
        <v>2016.0</v>
      </c>
      <c r="C1018" s="7" t="s">
        <v>79</v>
      </c>
      <c r="D1018" s="7" t="s">
        <v>49</v>
      </c>
      <c r="E1018" s="7" t="s">
        <v>28</v>
      </c>
      <c r="F1018" s="6">
        <v>896.0</v>
      </c>
      <c r="G1018" s="6">
        <v>36113.93</v>
      </c>
      <c r="H1018" s="6">
        <v>40.31</v>
      </c>
      <c r="I1018" s="8">
        <v>35.58626116071429</v>
      </c>
      <c r="J1018" s="6">
        <v>31885.29</v>
      </c>
      <c r="K1018" s="6">
        <v>4228.65</v>
      </c>
      <c r="L1018" s="6">
        <v>11.71</v>
      </c>
      <c r="M1018" s="6">
        <f t="shared" si="1"/>
        <v>4.719475446</v>
      </c>
      <c r="N1018" s="6">
        <v>11.71</v>
      </c>
      <c r="O1018" s="7" t="s">
        <v>45</v>
      </c>
      <c r="P1018" s="7" t="s">
        <v>46</v>
      </c>
      <c r="Q1018" s="7" t="s">
        <v>25</v>
      </c>
      <c r="R1018" s="10">
        <v>5951.21</v>
      </c>
      <c r="S1018" s="10">
        <v>-1722.56</v>
      </c>
      <c r="T1018" s="9" t="s">
        <v>29</v>
      </c>
      <c r="U1018" s="9"/>
      <c r="V1018" s="9"/>
      <c r="W1018" s="9"/>
      <c r="X1018" s="9"/>
      <c r="Y1018" s="9"/>
      <c r="Z1018" s="9"/>
      <c r="AA1018" s="9"/>
      <c r="AB1018" s="9"/>
    </row>
    <row r="1019">
      <c r="A1019" s="5">
        <v>42655.0</v>
      </c>
      <c r="B1019" s="6">
        <v>2016.0</v>
      </c>
      <c r="C1019" s="7" t="s">
        <v>79</v>
      </c>
      <c r="D1019" s="7" t="s">
        <v>50</v>
      </c>
      <c r="E1019" s="7" t="s">
        <v>32</v>
      </c>
      <c r="F1019" s="6">
        <v>768.0</v>
      </c>
      <c r="G1019" s="6">
        <v>31023.36</v>
      </c>
      <c r="H1019" s="6">
        <v>40.39</v>
      </c>
      <c r="I1019" s="8">
        <v>36.22088541666667</v>
      </c>
      <c r="J1019" s="6">
        <v>27817.64</v>
      </c>
      <c r="K1019" s="6">
        <v>3205.72</v>
      </c>
      <c r="L1019" s="6">
        <v>10.33</v>
      </c>
      <c r="M1019" s="6">
        <f t="shared" si="1"/>
        <v>4.174114583</v>
      </c>
      <c r="N1019" s="6">
        <v>10.33</v>
      </c>
      <c r="O1019" s="7" t="s">
        <v>45</v>
      </c>
      <c r="P1019" s="7" t="s">
        <v>46</v>
      </c>
      <c r="Q1019" s="7" t="s">
        <v>25</v>
      </c>
      <c r="R1019" s="10">
        <v>4228.65</v>
      </c>
      <c r="S1019" s="10">
        <v>-1022.93</v>
      </c>
      <c r="T1019" s="9" t="s">
        <v>29</v>
      </c>
      <c r="U1019" s="9"/>
      <c r="V1019" s="9"/>
      <c r="W1019" s="9"/>
      <c r="X1019" s="9"/>
      <c r="Y1019" s="9"/>
      <c r="Z1019" s="9"/>
      <c r="AA1019" s="9"/>
      <c r="AB1019" s="9"/>
    </row>
    <row r="1020">
      <c r="A1020" s="5">
        <v>42656.0</v>
      </c>
      <c r="B1020" s="6">
        <v>2016.0</v>
      </c>
      <c r="C1020" s="7" t="s">
        <v>79</v>
      </c>
      <c r="D1020" s="7" t="s">
        <v>51</v>
      </c>
      <c r="E1020" s="7" t="s">
        <v>35</v>
      </c>
      <c r="F1020" s="6">
        <v>521.0</v>
      </c>
      <c r="G1020" s="6">
        <v>22334.21</v>
      </c>
      <c r="H1020" s="6">
        <v>42.87</v>
      </c>
      <c r="I1020" s="8">
        <v>37.81975047984645</v>
      </c>
      <c r="J1020" s="6">
        <v>19704.09</v>
      </c>
      <c r="K1020" s="6">
        <v>2630.12</v>
      </c>
      <c r="L1020" s="6">
        <v>11.78</v>
      </c>
      <c r="M1020" s="6">
        <f t="shared" si="1"/>
        <v>5.048214971</v>
      </c>
      <c r="N1020" s="6">
        <v>11.78</v>
      </c>
      <c r="O1020" s="7" t="s">
        <v>45</v>
      </c>
      <c r="P1020" s="7" t="s">
        <v>46</v>
      </c>
      <c r="Q1020" s="7" t="s">
        <v>25</v>
      </c>
      <c r="R1020" s="10">
        <v>3205.72</v>
      </c>
      <c r="S1020" s="10">
        <v>-575.6</v>
      </c>
      <c r="T1020" s="9" t="s">
        <v>29</v>
      </c>
      <c r="U1020" s="9"/>
      <c r="V1020" s="9"/>
      <c r="W1020" s="9"/>
      <c r="X1020" s="9"/>
      <c r="Y1020" s="9"/>
      <c r="Z1020" s="9"/>
      <c r="AA1020" s="9"/>
      <c r="AB1020" s="9"/>
    </row>
    <row r="1021">
      <c r="A1021" s="5">
        <v>42657.0</v>
      </c>
      <c r="B1021" s="6">
        <v>2016.0</v>
      </c>
      <c r="C1021" s="7" t="s">
        <v>79</v>
      </c>
      <c r="D1021" s="7" t="s">
        <v>52</v>
      </c>
      <c r="E1021" s="7" t="s">
        <v>37</v>
      </c>
      <c r="F1021" s="6">
        <v>1618.0</v>
      </c>
      <c r="G1021" s="6">
        <v>69440.93</v>
      </c>
      <c r="H1021" s="6">
        <v>42.92</v>
      </c>
      <c r="I1021" s="8">
        <v>38.362639060568604</v>
      </c>
      <c r="J1021" s="6">
        <v>62070.75</v>
      </c>
      <c r="K1021" s="6">
        <v>7370.18</v>
      </c>
      <c r="L1021" s="6">
        <v>10.61</v>
      </c>
      <c r="M1021" s="6">
        <f t="shared" si="1"/>
        <v>4.555117429</v>
      </c>
      <c r="N1021" s="6">
        <v>10.61</v>
      </c>
      <c r="O1021" s="7" t="s">
        <v>45</v>
      </c>
      <c r="P1021" s="7" t="s">
        <v>46</v>
      </c>
      <c r="Q1021" s="7" t="s">
        <v>25</v>
      </c>
      <c r="R1021" s="10">
        <v>2630.12</v>
      </c>
      <c r="S1021" s="10">
        <v>4740.06</v>
      </c>
      <c r="T1021" s="9" t="s">
        <v>33</v>
      </c>
      <c r="U1021" s="9"/>
      <c r="V1021" s="9"/>
      <c r="W1021" s="9"/>
      <c r="X1021" s="9"/>
      <c r="Y1021" s="9"/>
      <c r="Z1021" s="9"/>
      <c r="AA1021" s="9"/>
      <c r="AB1021" s="9"/>
    </row>
    <row r="1022">
      <c r="A1022" s="5">
        <v>42658.0</v>
      </c>
      <c r="B1022" s="6">
        <v>2016.0</v>
      </c>
      <c r="C1022" s="7" t="s">
        <v>79</v>
      </c>
      <c r="D1022" s="7" t="s">
        <v>53</v>
      </c>
      <c r="E1022" s="7" t="s">
        <v>39</v>
      </c>
      <c r="F1022" s="6">
        <v>2147.0</v>
      </c>
      <c r="G1022" s="6">
        <v>92159.03</v>
      </c>
      <c r="H1022" s="6">
        <v>42.92</v>
      </c>
      <c r="I1022" s="8">
        <v>38.831774569166285</v>
      </c>
      <c r="J1022" s="6">
        <v>83371.82</v>
      </c>
      <c r="K1022" s="6">
        <v>8787.21</v>
      </c>
      <c r="L1022" s="6">
        <v>9.53</v>
      </c>
      <c r="M1022" s="6">
        <f t="shared" si="1"/>
        <v>4.092785282</v>
      </c>
      <c r="N1022" s="6">
        <v>9.53</v>
      </c>
      <c r="O1022" s="7" t="s">
        <v>45</v>
      </c>
      <c r="P1022" s="7" t="s">
        <v>46</v>
      </c>
      <c r="Q1022" s="7" t="s">
        <v>25</v>
      </c>
      <c r="R1022" s="10">
        <v>7370.18</v>
      </c>
      <c r="S1022" s="10">
        <v>1417.04</v>
      </c>
      <c r="T1022" s="9" t="s">
        <v>33</v>
      </c>
      <c r="U1022" s="9"/>
      <c r="V1022" s="9"/>
      <c r="W1022" s="9"/>
      <c r="X1022" s="9"/>
      <c r="Y1022" s="9"/>
      <c r="Z1022" s="9"/>
      <c r="AA1022" s="9"/>
      <c r="AB1022" s="9"/>
    </row>
    <row r="1023">
      <c r="A1023" s="5">
        <v>42659.0</v>
      </c>
      <c r="B1023" s="6">
        <v>2016.0</v>
      </c>
      <c r="C1023" s="7" t="s">
        <v>79</v>
      </c>
      <c r="D1023" s="7" t="s">
        <v>54</v>
      </c>
      <c r="E1023" s="7" t="s">
        <v>41</v>
      </c>
      <c r="F1023" s="6">
        <v>1335.0</v>
      </c>
      <c r="G1023" s="6">
        <v>57296.29</v>
      </c>
      <c r="H1023" s="6">
        <v>42.92</v>
      </c>
      <c r="I1023" s="8">
        <v>39.476621722846446</v>
      </c>
      <c r="J1023" s="6">
        <v>52701.29</v>
      </c>
      <c r="K1023" s="6">
        <v>4594.99</v>
      </c>
      <c r="L1023" s="6">
        <v>8.02</v>
      </c>
      <c r="M1023" s="6">
        <f t="shared" si="1"/>
        <v>3.441940075</v>
      </c>
      <c r="N1023" s="6">
        <v>8.02</v>
      </c>
      <c r="O1023" s="7" t="s">
        <v>45</v>
      </c>
      <c r="P1023" s="7" t="s">
        <v>46</v>
      </c>
      <c r="Q1023" s="7" t="s">
        <v>25</v>
      </c>
      <c r="R1023" s="10">
        <v>8787.21</v>
      </c>
      <c r="S1023" s="10">
        <v>-4192.22</v>
      </c>
      <c r="T1023" s="9" t="s">
        <v>29</v>
      </c>
      <c r="U1023" s="9"/>
      <c r="V1023" s="9"/>
      <c r="W1023" s="9"/>
      <c r="X1023" s="9"/>
      <c r="Y1023" s="9"/>
      <c r="Z1023" s="9"/>
      <c r="AA1023" s="9"/>
      <c r="AB1023" s="9"/>
    </row>
    <row r="1024">
      <c r="A1024" s="5">
        <v>42660.0</v>
      </c>
      <c r="B1024" s="6">
        <v>2016.0</v>
      </c>
      <c r="C1024" s="7" t="s">
        <v>79</v>
      </c>
      <c r="D1024" s="7" t="s">
        <v>55</v>
      </c>
      <c r="E1024" s="7" t="s">
        <v>22</v>
      </c>
      <c r="F1024" s="6">
        <v>1332.0</v>
      </c>
      <c r="G1024" s="6">
        <v>57184.94</v>
      </c>
      <c r="H1024" s="6">
        <v>42.93</v>
      </c>
      <c r="I1024" s="8">
        <v>38.86256756756757</v>
      </c>
      <c r="J1024" s="6">
        <v>51764.94</v>
      </c>
      <c r="K1024" s="6">
        <v>5420.0</v>
      </c>
      <c r="L1024" s="6">
        <v>9.48</v>
      </c>
      <c r="M1024" s="6">
        <f t="shared" si="1"/>
        <v>4.069069069</v>
      </c>
      <c r="N1024" s="6">
        <v>9.48</v>
      </c>
      <c r="O1024" s="7" t="s">
        <v>45</v>
      </c>
      <c r="P1024" s="7" t="s">
        <v>46</v>
      </c>
      <c r="Q1024" s="7" t="s">
        <v>25</v>
      </c>
      <c r="R1024" s="10">
        <v>4594.99</v>
      </c>
      <c r="S1024" s="10">
        <v>825.01</v>
      </c>
      <c r="T1024" s="9" t="s">
        <v>33</v>
      </c>
      <c r="U1024" s="9"/>
      <c r="V1024" s="9"/>
      <c r="W1024" s="9"/>
      <c r="X1024" s="9"/>
      <c r="Y1024" s="9"/>
      <c r="Z1024" s="9"/>
      <c r="AA1024" s="9"/>
      <c r="AB1024" s="9"/>
    </row>
    <row r="1025">
      <c r="A1025" s="5">
        <v>42661.0</v>
      </c>
      <c r="B1025" s="6">
        <v>2016.0</v>
      </c>
      <c r="C1025" s="7" t="s">
        <v>79</v>
      </c>
      <c r="D1025" s="7" t="s">
        <v>56</v>
      </c>
      <c r="E1025" s="7" t="s">
        <v>28</v>
      </c>
      <c r="F1025" s="6">
        <v>954.0</v>
      </c>
      <c r="G1025" s="6">
        <v>40951.1</v>
      </c>
      <c r="H1025" s="6">
        <v>42.93</v>
      </c>
      <c r="I1025" s="8">
        <v>39.08660377358491</v>
      </c>
      <c r="J1025" s="6">
        <v>37288.62</v>
      </c>
      <c r="K1025" s="6">
        <v>3662.48</v>
      </c>
      <c r="L1025" s="6">
        <v>8.94</v>
      </c>
      <c r="M1025" s="6">
        <f t="shared" si="1"/>
        <v>3.839077568</v>
      </c>
      <c r="N1025" s="6">
        <v>8.94</v>
      </c>
      <c r="O1025" s="7" t="s">
        <v>45</v>
      </c>
      <c r="P1025" s="7" t="s">
        <v>46</v>
      </c>
      <c r="Q1025" s="7" t="s">
        <v>25</v>
      </c>
      <c r="R1025" s="10">
        <v>5420.0</v>
      </c>
      <c r="S1025" s="10">
        <v>-1757.52</v>
      </c>
      <c r="T1025" s="9" t="s">
        <v>29</v>
      </c>
      <c r="U1025" s="9"/>
      <c r="V1025" s="9"/>
      <c r="W1025" s="9"/>
      <c r="X1025" s="9"/>
      <c r="Y1025" s="9"/>
      <c r="Z1025" s="9"/>
      <c r="AA1025" s="9"/>
      <c r="AB1025" s="9"/>
    </row>
    <row r="1026">
      <c r="A1026" s="5">
        <v>42662.0</v>
      </c>
      <c r="B1026" s="6">
        <v>2016.0</v>
      </c>
      <c r="C1026" s="7" t="s">
        <v>79</v>
      </c>
      <c r="D1026" s="7" t="s">
        <v>57</v>
      </c>
      <c r="E1026" s="7" t="s">
        <v>32</v>
      </c>
      <c r="F1026" s="6">
        <v>877.0</v>
      </c>
      <c r="G1026" s="6">
        <v>37672.45</v>
      </c>
      <c r="H1026" s="6">
        <v>42.96</v>
      </c>
      <c r="I1026" s="8">
        <v>38.40189281641961</v>
      </c>
      <c r="J1026" s="6">
        <v>33678.46</v>
      </c>
      <c r="K1026" s="6">
        <v>3993.99</v>
      </c>
      <c r="L1026" s="6">
        <v>10.6</v>
      </c>
      <c r="M1026" s="6">
        <f t="shared" si="1"/>
        <v>4.554150513</v>
      </c>
      <c r="N1026" s="6">
        <v>10.6</v>
      </c>
      <c r="O1026" s="7" t="s">
        <v>45</v>
      </c>
      <c r="P1026" s="7" t="s">
        <v>46</v>
      </c>
      <c r="Q1026" s="7" t="s">
        <v>25</v>
      </c>
      <c r="R1026" s="10">
        <v>3662.48</v>
      </c>
      <c r="S1026" s="10">
        <v>331.51</v>
      </c>
      <c r="T1026" s="9" t="s">
        <v>33</v>
      </c>
      <c r="U1026" s="9"/>
      <c r="V1026" s="9"/>
      <c r="W1026" s="9"/>
      <c r="X1026" s="9"/>
      <c r="Y1026" s="9"/>
      <c r="Z1026" s="9"/>
      <c r="AA1026" s="9"/>
      <c r="AB1026" s="9"/>
    </row>
    <row r="1027">
      <c r="A1027" s="5">
        <v>42663.0</v>
      </c>
      <c r="B1027" s="6">
        <v>2016.0</v>
      </c>
      <c r="C1027" s="7" t="s">
        <v>79</v>
      </c>
      <c r="D1027" s="7" t="s">
        <v>58</v>
      </c>
      <c r="E1027" s="7" t="s">
        <v>35</v>
      </c>
      <c r="F1027" s="6">
        <v>906.0</v>
      </c>
      <c r="G1027" s="6">
        <v>38648.14</v>
      </c>
      <c r="H1027" s="6">
        <v>42.66</v>
      </c>
      <c r="I1027" s="8">
        <v>38.673366445916116</v>
      </c>
      <c r="J1027" s="6">
        <v>35038.07</v>
      </c>
      <c r="K1027" s="6">
        <v>3610.07</v>
      </c>
      <c r="L1027" s="6">
        <v>9.34</v>
      </c>
      <c r="M1027" s="6">
        <f t="shared" si="1"/>
        <v>3.984624724</v>
      </c>
      <c r="N1027" s="6">
        <v>9.34</v>
      </c>
      <c r="O1027" s="7" t="s">
        <v>45</v>
      </c>
      <c r="P1027" s="7" t="s">
        <v>46</v>
      </c>
      <c r="Q1027" s="7" t="s">
        <v>25</v>
      </c>
      <c r="R1027" s="10">
        <v>3993.99</v>
      </c>
      <c r="S1027" s="10">
        <v>-383.92</v>
      </c>
      <c r="T1027" s="9" t="s">
        <v>29</v>
      </c>
      <c r="U1027" s="9"/>
      <c r="V1027" s="9"/>
      <c r="W1027" s="9"/>
      <c r="X1027" s="9"/>
      <c r="Y1027" s="9"/>
      <c r="Z1027" s="9"/>
      <c r="AA1027" s="9"/>
      <c r="AB1027" s="9"/>
    </row>
    <row r="1028">
      <c r="A1028" s="5">
        <v>42664.0</v>
      </c>
      <c r="B1028" s="6">
        <v>2016.0</v>
      </c>
      <c r="C1028" s="7" t="s">
        <v>79</v>
      </c>
      <c r="D1028" s="7" t="s">
        <v>59</v>
      </c>
      <c r="E1028" s="7" t="s">
        <v>37</v>
      </c>
      <c r="F1028" s="6">
        <v>2249.0</v>
      </c>
      <c r="G1028" s="6">
        <v>96020.55</v>
      </c>
      <c r="H1028" s="6">
        <v>42.69</v>
      </c>
      <c r="I1028" s="8">
        <v>38.59950200088928</v>
      </c>
      <c r="J1028" s="6">
        <v>86810.28</v>
      </c>
      <c r="K1028" s="6">
        <v>9210.27</v>
      </c>
      <c r="L1028" s="6">
        <v>9.59</v>
      </c>
      <c r="M1028" s="6">
        <f t="shared" si="1"/>
        <v>4.095273455</v>
      </c>
      <c r="N1028" s="6">
        <v>9.59</v>
      </c>
      <c r="O1028" s="7" t="s">
        <v>45</v>
      </c>
      <c r="P1028" s="7" t="s">
        <v>46</v>
      </c>
      <c r="Q1028" s="7" t="s">
        <v>25</v>
      </c>
      <c r="R1028" s="10">
        <v>3610.07</v>
      </c>
      <c r="S1028" s="10">
        <v>5600.2</v>
      </c>
      <c r="T1028" s="9" t="s">
        <v>33</v>
      </c>
      <c r="U1028" s="9"/>
      <c r="V1028" s="9"/>
      <c r="W1028" s="9"/>
      <c r="X1028" s="9"/>
      <c r="Y1028" s="9"/>
      <c r="Z1028" s="9"/>
      <c r="AA1028" s="9"/>
      <c r="AB1028" s="9"/>
    </row>
    <row r="1029">
      <c r="A1029" s="5">
        <v>42665.0</v>
      </c>
      <c r="B1029" s="6">
        <v>2016.0</v>
      </c>
      <c r="C1029" s="7" t="s">
        <v>79</v>
      </c>
      <c r="D1029" s="7" t="s">
        <v>60</v>
      </c>
      <c r="E1029" s="7" t="s">
        <v>39</v>
      </c>
      <c r="F1029" s="6">
        <v>2472.0</v>
      </c>
      <c r="G1029" s="6">
        <v>105662.59</v>
      </c>
      <c r="H1029" s="6">
        <v>42.74</v>
      </c>
      <c r="I1029" s="8">
        <v>38.806642394822006</v>
      </c>
      <c r="J1029" s="6">
        <v>95930.02</v>
      </c>
      <c r="K1029" s="6">
        <v>9732.58</v>
      </c>
      <c r="L1029" s="6">
        <v>9.21</v>
      </c>
      <c r="M1029" s="6">
        <f t="shared" si="1"/>
        <v>3.937127832</v>
      </c>
      <c r="N1029" s="6">
        <v>9.21</v>
      </c>
      <c r="O1029" s="7" t="s">
        <v>45</v>
      </c>
      <c r="P1029" s="7" t="s">
        <v>46</v>
      </c>
      <c r="Q1029" s="7" t="s">
        <v>25</v>
      </c>
      <c r="R1029" s="10">
        <v>9210.27</v>
      </c>
      <c r="S1029" s="10">
        <v>522.31</v>
      </c>
      <c r="T1029" s="9" t="s">
        <v>33</v>
      </c>
      <c r="U1029" s="9"/>
      <c r="V1029" s="9"/>
      <c r="W1029" s="9"/>
      <c r="X1029" s="9"/>
      <c r="Y1029" s="9"/>
      <c r="Z1029" s="9"/>
      <c r="AA1029" s="9"/>
      <c r="AB1029" s="9"/>
    </row>
    <row r="1030">
      <c r="A1030" s="5">
        <v>42666.0</v>
      </c>
      <c r="B1030" s="6">
        <v>2016.0</v>
      </c>
      <c r="C1030" s="7" t="s">
        <v>79</v>
      </c>
      <c r="D1030" s="7" t="s">
        <v>61</v>
      </c>
      <c r="E1030" s="7" t="s">
        <v>41</v>
      </c>
      <c r="F1030" s="6">
        <v>1280.0</v>
      </c>
      <c r="G1030" s="6">
        <v>54738.48</v>
      </c>
      <c r="H1030" s="6">
        <v>42.76</v>
      </c>
      <c r="I1030" s="8">
        <v>39.05509375</v>
      </c>
      <c r="J1030" s="6">
        <v>49990.52</v>
      </c>
      <c r="K1030" s="6">
        <v>4747.96</v>
      </c>
      <c r="L1030" s="6">
        <v>8.67</v>
      </c>
      <c r="M1030" s="6">
        <f t="shared" si="1"/>
        <v>3.70934375</v>
      </c>
      <c r="N1030" s="6">
        <v>8.67</v>
      </c>
      <c r="O1030" s="7" t="s">
        <v>45</v>
      </c>
      <c r="P1030" s="7" t="s">
        <v>46</v>
      </c>
      <c r="Q1030" s="7" t="s">
        <v>25</v>
      </c>
      <c r="R1030" s="10">
        <v>9732.58</v>
      </c>
      <c r="S1030" s="10">
        <v>-4984.61</v>
      </c>
      <c r="T1030" s="9" t="s">
        <v>29</v>
      </c>
      <c r="U1030" s="9"/>
      <c r="V1030" s="9"/>
      <c r="W1030" s="9"/>
      <c r="X1030" s="9"/>
      <c r="Y1030" s="9"/>
      <c r="Z1030" s="9"/>
      <c r="AA1030" s="9"/>
      <c r="AB1030" s="9"/>
    </row>
    <row r="1031">
      <c r="A1031" s="5">
        <v>42667.0</v>
      </c>
      <c r="B1031" s="6">
        <v>2016.0</v>
      </c>
      <c r="C1031" s="7" t="s">
        <v>79</v>
      </c>
      <c r="D1031" s="7" t="s">
        <v>62</v>
      </c>
      <c r="E1031" s="7" t="s">
        <v>22</v>
      </c>
      <c r="F1031" s="6">
        <v>940.0</v>
      </c>
      <c r="G1031" s="6">
        <v>40131.57</v>
      </c>
      <c r="H1031" s="6">
        <v>42.69</v>
      </c>
      <c r="I1031" s="8">
        <v>38.667765957446804</v>
      </c>
      <c r="J1031" s="6">
        <v>36347.7</v>
      </c>
      <c r="K1031" s="6">
        <v>3783.87</v>
      </c>
      <c r="L1031" s="6">
        <v>9.43</v>
      </c>
      <c r="M1031" s="6">
        <f t="shared" si="1"/>
        <v>4.025393617</v>
      </c>
      <c r="N1031" s="6">
        <v>9.43</v>
      </c>
      <c r="O1031" s="7" t="s">
        <v>45</v>
      </c>
      <c r="P1031" s="7" t="s">
        <v>46</v>
      </c>
      <c r="Q1031" s="7" t="s">
        <v>25</v>
      </c>
      <c r="R1031" s="10">
        <v>4747.96</v>
      </c>
      <c r="S1031" s="10">
        <v>-964.09</v>
      </c>
      <c r="T1031" s="9" t="s">
        <v>29</v>
      </c>
      <c r="U1031" s="9"/>
      <c r="V1031" s="9"/>
      <c r="W1031" s="9"/>
      <c r="X1031" s="9"/>
      <c r="Y1031" s="9"/>
      <c r="Z1031" s="9"/>
      <c r="AA1031" s="9"/>
      <c r="AB1031" s="9"/>
    </row>
    <row r="1032">
      <c r="A1032" s="5">
        <v>42668.0</v>
      </c>
      <c r="B1032" s="6">
        <v>2016.0</v>
      </c>
      <c r="C1032" s="7" t="s">
        <v>79</v>
      </c>
      <c r="D1032" s="7" t="s">
        <v>63</v>
      </c>
      <c r="E1032" s="7" t="s">
        <v>28</v>
      </c>
      <c r="F1032" s="6">
        <v>1650.0</v>
      </c>
      <c r="G1032" s="6">
        <v>70402.99</v>
      </c>
      <c r="H1032" s="6">
        <v>42.67</v>
      </c>
      <c r="I1032" s="8">
        <v>38.45621818181818</v>
      </c>
      <c r="J1032" s="6">
        <v>63452.76</v>
      </c>
      <c r="K1032" s="6">
        <v>6950.23</v>
      </c>
      <c r="L1032" s="6">
        <v>9.87</v>
      </c>
      <c r="M1032" s="6">
        <f t="shared" si="1"/>
        <v>4.212260606</v>
      </c>
      <c r="N1032" s="6">
        <v>9.87</v>
      </c>
      <c r="O1032" s="7" t="s">
        <v>45</v>
      </c>
      <c r="P1032" s="7" t="s">
        <v>46</v>
      </c>
      <c r="Q1032" s="7" t="s">
        <v>25</v>
      </c>
      <c r="R1032" s="10">
        <v>3783.87</v>
      </c>
      <c r="S1032" s="10">
        <v>3166.36</v>
      </c>
      <c r="T1032" s="9" t="s">
        <v>33</v>
      </c>
      <c r="U1032" s="9"/>
      <c r="V1032" s="9"/>
      <c r="W1032" s="9"/>
      <c r="X1032" s="9"/>
      <c r="Y1032" s="9"/>
      <c r="Z1032" s="9"/>
      <c r="AA1032" s="9"/>
      <c r="AB1032" s="9"/>
    </row>
    <row r="1033">
      <c r="A1033" s="5">
        <v>42669.0</v>
      </c>
      <c r="B1033" s="6">
        <v>2016.0</v>
      </c>
      <c r="C1033" s="7" t="s">
        <v>79</v>
      </c>
      <c r="D1033" s="7" t="s">
        <v>64</v>
      </c>
      <c r="E1033" s="7" t="s">
        <v>32</v>
      </c>
      <c r="F1033" s="6">
        <v>1467.0</v>
      </c>
      <c r="G1033" s="6">
        <v>62501.74</v>
      </c>
      <c r="H1033" s="6">
        <v>42.61</v>
      </c>
      <c r="I1033" s="8">
        <v>38.2419018404908</v>
      </c>
      <c r="J1033" s="6">
        <v>56100.87</v>
      </c>
      <c r="K1033" s="6">
        <v>6400.87</v>
      </c>
      <c r="L1033" s="6">
        <v>10.24</v>
      </c>
      <c r="M1033" s="6">
        <f t="shared" si="1"/>
        <v>4.3632379</v>
      </c>
      <c r="N1033" s="6">
        <v>10.24</v>
      </c>
      <c r="O1033" s="7" t="s">
        <v>45</v>
      </c>
      <c r="P1033" s="7" t="s">
        <v>46</v>
      </c>
      <c r="Q1033" s="7" t="s">
        <v>25</v>
      </c>
      <c r="R1033" s="10">
        <v>6950.23</v>
      </c>
      <c r="S1033" s="10">
        <v>-549.36</v>
      </c>
      <c r="T1033" s="9" t="s">
        <v>29</v>
      </c>
      <c r="U1033" s="9"/>
      <c r="V1033" s="9"/>
      <c r="W1033" s="9"/>
      <c r="X1033" s="9"/>
      <c r="Y1033" s="9"/>
      <c r="Z1033" s="9"/>
      <c r="AA1033" s="9"/>
      <c r="AB1033" s="9"/>
    </row>
    <row r="1034">
      <c r="A1034" s="5">
        <v>42670.0</v>
      </c>
      <c r="B1034" s="6">
        <v>2016.0</v>
      </c>
      <c r="C1034" s="7" t="s">
        <v>79</v>
      </c>
      <c r="D1034" s="7" t="s">
        <v>65</v>
      </c>
      <c r="E1034" s="7" t="s">
        <v>35</v>
      </c>
      <c r="F1034" s="6">
        <v>1257.0</v>
      </c>
      <c r="G1034" s="6">
        <v>53675.22</v>
      </c>
      <c r="H1034" s="6">
        <v>42.7</v>
      </c>
      <c r="I1034" s="8">
        <v>38.34680986475736</v>
      </c>
      <c r="J1034" s="6">
        <v>48201.94</v>
      </c>
      <c r="K1034" s="6">
        <v>5473.28</v>
      </c>
      <c r="L1034" s="6">
        <v>10.2</v>
      </c>
      <c r="M1034" s="6">
        <f t="shared" si="1"/>
        <v>4.354240255</v>
      </c>
      <c r="N1034" s="6">
        <v>10.2</v>
      </c>
      <c r="O1034" s="7" t="s">
        <v>45</v>
      </c>
      <c r="P1034" s="7" t="s">
        <v>46</v>
      </c>
      <c r="Q1034" s="7" t="s">
        <v>25</v>
      </c>
      <c r="R1034" s="10">
        <v>6400.87</v>
      </c>
      <c r="S1034" s="10">
        <v>-927.59</v>
      </c>
      <c r="T1034" s="9" t="s">
        <v>29</v>
      </c>
      <c r="U1034" s="9"/>
      <c r="V1034" s="9"/>
      <c r="W1034" s="9"/>
      <c r="X1034" s="9"/>
      <c r="Y1034" s="9"/>
      <c r="Z1034" s="9"/>
      <c r="AA1034" s="9"/>
      <c r="AB1034" s="9"/>
    </row>
    <row r="1035">
      <c r="A1035" s="5">
        <v>42671.0</v>
      </c>
      <c r="B1035" s="6">
        <v>2016.0</v>
      </c>
      <c r="C1035" s="7" t="s">
        <v>79</v>
      </c>
      <c r="D1035" s="7" t="s">
        <v>66</v>
      </c>
      <c r="E1035" s="7" t="s">
        <v>37</v>
      </c>
      <c r="F1035" s="6">
        <v>2405.0</v>
      </c>
      <c r="G1035" s="6">
        <v>102606.33</v>
      </c>
      <c r="H1035" s="6">
        <v>42.66</v>
      </c>
      <c r="I1035" s="8">
        <v>38.52711018711019</v>
      </c>
      <c r="J1035" s="6">
        <v>92657.7</v>
      </c>
      <c r="K1035" s="6">
        <v>9948.63</v>
      </c>
      <c r="L1035" s="6">
        <v>9.7</v>
      </c>
      <c r="M1035" s="6">
        <f t="shared" si="1"/>
        <v>4.136644491</v>
      </c>
      <c r="N1035" s="6">
        <v>9.7</v>
      </c>
      <c r="O1035" s="7" t="s">
        <v>45</v>
      </c>
      <c r="P1035" s="7" t="s">
        <v>46</v>
      </c>
      <c r="Q1035" s="7" t="s">
        <v>25</v>
      </c>
      <c r="R1035" s="10">
        <v>5473.28</v>
      </c>
      <c r="S1035" s="10">
        <v>4475.35</v>
      </c>
      <c r="T1035" s="9" t="s">
        <v>33</v>
      </c>
      <c r="U1035" s="9"/>
      <c r="V1035" s="9"/>
      <c r="W1035" s="9"/>
      <c r="X1035" s="9"/>
      <c r="Y1035" s="9"/>
      <c r="Z1035" s="9"/>
      <c r="AA1035" s="9"/>
      <c r="AB1035" s="9"/>
    </row>
    <row r="1036">
      <c r="A1036" s="5">
        <v>42672.0</v>
      </c>
      <c r="B1036" s="6">
        <v>2016.0</v>
      </c>
      <c r="C1036" s="7" t="s">
        <v>79</v>
      </c>
      <c r="D1036" s="7" t="s">
        <v>67</v>
      </c>
      <c r="E1036" s="7" t="s">
        <v>39</v>
      </c>
      <c r="F1036" s="6">
        <v>2929.0</v>
      </c>
      <c r="G1036" s="6">
        <v>124988.16</v>
      </c>
      <c r="H1036" s="6">
        <v>42.67</v>
      </c>
      <c r="I1036" s="8">
        <v>38.64385455786958</v>
      </c>
      <c r="J1036" s="6">
        <v>113187.85</v>
      </c>
      <c r="K1036" s="6">
        <v>11800.31</v>
      </c>
      <c r="L1036" s="6">
        <v>9.44</v>
      </c>
      <c r="M1036" s="6">
        <f t="shared" si="1"/>
        <v>4.028784568</v>
      </c>
      <c r="N1036" s="6">
        <v>9.44</v>
      </c>
      <c r="O1036" s="7" t="s">
        <v>45</v>
      </c>
      <c r="P1036" s="7" t="s">
        <v>46</v>
      </c>
      <c r="Q1036" s="7" t="s">
        <v>25</v>
      </c>
      <c r="R1036" s="10">
        <v>9948.63</v>
      </c>
      <c r="S1036" s="10">
        <v>1851.68</v>
      </c>
      <c r="T1036" s="9" t="s">
        <v>33</v>
      </c>
      <c r="U1036" s="9"/>
      <c r="V1036" s="9"/>
      <c r="W1036" s="9"/>
      <c r="X1036" s="9"/>
      <c r="Y1036" s="9"/>
      <c r="Z1036" s="9"/>
      <c r="AA1036" s="9"/>
      <c r="AB1036" s="9"/>
    </row>
    <row r="1037">
      <c r="A1037" s="5">
        <v>42673.0</v>
      </c>
      <c r="B1037" s="6">
        <v>2016.0</v>
      </c>
      <c r="C1037" s="7" t="s">
        <v>79</v>
      </c>
      <c r="D1037" s="7" t="s">
        <v>21</v>
      </c>
      <c r="E1037" s="7" t="s">
        <v>41</v>
      </c>
      <c r="F1037" s="6">
        <v>1582.0</v>
      </c>
      <c r="G1037" s="6">
        <v>67521.04</v>
      </c>
      <c r="H1037" s="6">
        <v>42.68</v>
      </c>
      <c r="I1037" s="8">
        <v>38.70652338811631</v>
      </c>
      <c r="J1037" s="6">
        <v>61233.72</v>
      </c>
      <c r="K1037" s="6">
        <v>6287.32</v>
      </c>
      <c r="L1037" s="6">
        <v>9.31</v>
      </c>
      <c r="M1037" s="6">
        <f t="shared" si="1"/>
        <v>3.974285714</v>
      </c>
      <c r="N1037" s="6">
        <v>9.31</v>
      </c>
      <c r="O1037" s="7" t="s">
        <v>45</v>
      </c>
      <c r="P1037" s="7" t="s">
        <v>46</v>
      </c>
      <c r="Q1037" s="7" t="s">
        <v>25</v>
      </c>
      <c r="R1037" s="10">
        <v>11800.31</v>
      </c>
      <c r="S1037" s="10">
        <v>-5512.99</v>
      </c>
      <c r="T1037" s="9" t="s">
        <v>29</v>
      </c>
      <c r="U1037" s="9"/>
      <c r="V1037" s="9"/>
      <c r="W1037" s="9"/>
      <c r="X1037" s="9"/>
      <c r="Y1037" s="9"/>
      <c r="Z1037" s="9"/>
      <c r="AA1037" s="9"/>
      <c r="AB1037" s="9"/>
    </row>
    <row r="1038">
      <c r="A1038" s="5">
        <v>42674.0</v>
      </c>
      <c r="B1038" s="6">
        <v>2016.0</v>
      </c>
      <c r="C1038" s="7" t="s">
        <v>79</v>
      </c>
      <c r="D1038" s="7" t="s">
        <v>27</v>
      </c>
      <c r="E1038" s="7" t="s">
        <v>22</v>
      </c>
      <c r="F1038" s="6">
        <v>1639.0</v>
      </c>
      <c r="G1038" s="6">
        <v>70020.6</v>
      </c>
      <c r="H1038" s="6">
        <v>42.72</v>
      </c>
      <c r="I1038" s="8">
        <v>38.02083587553386</v>
      </c>
      <c r="J1038" s="6">
        <v>62316.15</v>
      </c>
      <c r="K1038" s="6">
        <v>7704.44</v>
      </c>
      <c r="L1038" s="6">
        <v>11.0</v>
      </c>
      <c r="M1038" s="6">
        <f t="shared" si="1"/>
        <v>4.700695546</v>
      </c>
      <c r="N1038" s="6">
        <v>11.0</v>
      </c>
      <c r="O1038" s="7" t="s">
        <v>45</v>
      </c>
      <c r="P1038" s="7" t="s">
        <v>46</v>
      </c>
      <c r="Q1038" s="7" t="s">
        <v>25</v>
      </c>
      <c r="R1038" s="10">
        <v>6287.32</v>
      </c>
      <c r="S1038" s="10">
        <v>1417.13</v>
      </c>
      <c r="T1038" s="9" t="s">
        <v>33</v>
      </c>
      <c r="U1038" s="9"/>
      <c r="V1038" s="9"/>
      <c r="W1038" s="9"/>
      <c r="X1038" s="9"/>
      <c r="Y1038" s="9"/>
      <c r="Z1038" s="9"/>
      <c r="AA1038" s="9"/>
      <c r="AB1038" s="9"/>
    </row>
    <row r="1039">
      <c r="A1039" s="5">
        <v>42675.0</v>
      </c>
      <c r="B1039" s="6">
        <v>2016.0</v>
      </c>
      <c r="C1039" s="7" t="s">
        <v>80</v>
      </c>
      <c r="D1039" s="7" t="s">
        <v>31</v>
      </c>
      <c r="E1039" s="7" t="s">
        <v>28</v>
      </c>
      <c r="F1039" s="6">
        <v>2971.0</v>
      </c>
      <c r="G1039" s="6">
        <v>126954.17</v>
      </c>
      <c r="H1039" s="6">
        <v>42.73</v>
      </c>
      <c r="I1039" s="8">
        <v>37.25975765735443</v>
      </c>
      <c r="J1039" s="6">
        <v>110698.74</v>
      </c>
      <c r="K1039" s="6">
        <v>16255.43</v>
      </c>
      <c r="L1039" s="6">
        <v>12.8</v>
      </c>
      <c r="M1039" s="6">
        <f t="shared" si="1"/>
        <v>5.471366543</v>
      </c>
      <c r="N1039" s="6">
        <v>12.8</v>
      </c>
      <c r="O1039" s="7" t="s">
        <v>45</v>
      </c>
      <c r="P1039" s="7" t="s">
        <v>46</v>
      </c>
      <c r="Q1039" s="7" t="s">
        <v>25</v>
      </c>
      <c r="R1039" s="10">
        <v>7704.44</v>
      </c>
      <c r="S1039" s="10">
        <v>8550.98</v>
      </c>
      <c r="T1039" s="9" t="s">
        <v>33</v>
      </c>
      <c r="U1039" s="9"/>
      <c r="V1039" s="9"/>
      <c r="W1039" s="9"/>
      <c r="X1039" s="9"/>
      <c r="Y1039" s="9"/>
      <c r="Z1039" s="9"/>
      <c r="AA1039" s="9"/>
      <c r="AB1039" s="9"/>
    </row>
    <row r="1040">
      <c r="A1040" s="5">
        <v>42676.0</v>
      </c>
      <c r="B1040" s="6">
        <v>2016.0</v>
      </c>
      <c r="C1040" s="7" t="s">
        <v>80</v>
      </c>
      <c r="D1040" s="7" t="s">
        <v>34</v>
      </c>
      <c r="E1040" s="7" t="s">
        <v>32</v>
      </c>
      <c r="F1040" s="6">
        <v>2284.0</v>
      </c>
      <c r="G1040" s="6">
        <v>97558.25</v>
      </c>
      <c r="H1040" s="6">
        <v>42.71</v>
      </c>
      <c r="I1040" s="8">
        <v>37.74250437828371</v>
      </c>
      <c r="J1040" s="6">
        <v>86203.88</v>
      </c>
      <c r="K1040" s="6">
        <v>11354.37</v>
      </c>
      <c r="L1040" s="6">
        <v>11.64</v>
      </c>
      <c r="M1040" s="6">
        <f t="shared" si="1"/>
        <v>4.971265324</v>
      </c>
      <c r="N1040" s="6">
        <v>11.64</v>
      </c>
      <c r="O1040" s="7" t="s">
        <v>45</v>
      </c>
      <c r="P1040" s="7" t="s">
        <v>46</v>
      </c>
      <c r="Q1040" s="7" t="s">
        <v>25</v>
      </c>
      <c r="R1040" s="10">
        <v>16255.43</v>
      </c>
      <c r="S1040" s="10">
        <v>-4901.06</v>
      </c>
      <c r="T1040" s="9" t="s">
        <v>29</v>
      </c>
      <c r="U1040" s="9"/>
      <c r="V1040" s="9"/>
      <c r="W1040" s="9"/>
      <c r="X1040" s="9"/>
      <c r="Y1040" s="9"/>
      <c r="Z1040" s="9"/>
      <c r="AA1040" s="9"/>
      <c r="AB1040" s="9"/>
    </row>
    <row r="1041">
      <c r="A1041" s="5">
        <v>42677.0</v>
      </c>
      <c r="B1041" s="6">
        <v>2016.0</v>
      </c>
      <c r="C1041" s="7" t="s">
        <v>80</v>
      </c>
      <c r="D1041" s="7" t="s">
        <v>36</v>
      </c>
      <c r="E1041" s="7" t="s">
        <v>35</v>
      </c>
      <c r="F1041" s="6">
        <v>2266.0</v>
      </c>
      <c r="G1041" s="6">
        <v>97039.01</v>
      </c>
      <c r="H1041" s="6">
        <v>42.82</v>
      </c>
      <c r="I1041" s="8">
        <v>39.458702559576345</v>
      </c>
      <c r="J1041" s="6">
        <v>89413.42</v>
      </c>
      <c r="K1041" s="6">
        <v>7625.59</v>
      </c>
      <c r="L1041" s="6">
        <v>7.86</v>
      </c>
      <c r="M1041" s="6">
        <f t="shared" si="1"/>
        <v>3.365220653</v>
      </c>
      <c r="N1041" s="6">
        <v>7.86</v>
      </c>
      <c r="O1041" s="7" t="s">
        <v>45</v>
      </c>
      <c r="P1041" s="7" t="s">
        <v>46</v>
      </c>
      <c r="Q1041" s="7" t="s">
        <v>25</v>
      </c>
      <c r="R1041" s="10">
        <v>11354.37</v>
      </c>
      <c r="S1041" s="10">
        <v>-3728.78</v>
      </c>
      <c r="T1041" s="9" t="s">
        <v>29</v>
      </c>
      <c r="U1041" s="9"/>
      <c r="V1041" s="9"/>
      <c r="W1041" s="9"/>
      <c r="X1041" s="9"/>
      <c r="Y1041" s="9"/>
      <c r="Z1041" s="9"/>
      <c r="AA1041" s="9"/>
      <c r="AB1041" s="9"/>
    </row>
    <row r="1042">
      <c r="A1042" s="5">
        <v>42678.0</v>
      </c>
      <c r="B1042" s="6">
        <v>2016.0</v>
      </c>
      <c r="C1042" s="7" t="s">
        <v>80</v>
      </c>
      <c r="D1042" s="7" t="s">
        <v>38</v>
      </c>
      <c r="E1042" s="7" t="s">
        <v>37</v>
      </c>
      <c r="F1042" s="6">
        <v>3938.0</v>
      </c>
      <c r="G1042" s="6">
        <v>168349.27</v>
      </c>
      <c r="H1042" s="6">
        <v>42.75</v>
      </c>
      <c r="I1042" s="8">
        <v>39.78557389537836</v>
      </c>
      <c r="J1042" s="6">
        <v>156675.59</v>
      </c>
      <c r="K1042" s="6">
        <v>11673.68</v>
      </c>
      <c r="L1042" s="6">
        <v>6.93</v>
      </c>
      <c r="M1042" s="6">
        <f t="shared" si="1"/>
        <v>2.964367699</v>
      </c>
      <c r="N1042" s="6">
        <v>6.93</v>
      </c>
      <c r="O1042" s="7" t="s">
        <v>45</v>
      </c>
      <c r="P1042" s="7" t="s">
        <v>46</v>
      </c>
      <c r="Q1042" s="7" t="s">
        <v>25</v>
      </c>
      <c r="R1042" s="10">
        <v>7625.59</v>
      </c>
      <c r="S1042" s="10">
        <v>4048.08</v>
      </c>
      <c r="T1042" s="9" t="s">
        <v>33</v>
      </c>
      <c r="U1042" s="9"/>
      <c r="V1042" s="9"/>
      <c r="W1042" s="9"/>
      <c r="X1042" s="9"/>
      <c r="Y1042" s="9"/>
      <c r="Z1042" s="9"/>
      <c r="AA1042" s="9"/>
      <c r="AB1042" s="9"/>
    </row>
    <row r="1043">
      <c r="A1043" s="5">
        <v>42679.0</v>
      </c>
      <c r="B1043" s="6">
        <v>2016.0</v>
      </c>
      <c r="C1043" s="7" t="s">
        <v>80</v>
      </c>
      <c r="D1043" s="7" t="s">
        <v>40</v>
      </c>
      <c r="E1043" s="7" t="s">
        <v>39</v>
      </c>
      <c r="F1043" s="6">
        <v>4720.0</v>
      </c>
      <c r="G1043" s="6">
        <v>202017.42</v>
      </c>
      <c r="H1043" s="6">
        <v>42.8</v>
      </c>
      <c r="I1043" s="8">
        <v>40.1259936440678</v>
      </c>
      <c r="J1043" s="6">
        <v>189394.69</v>
      </c>
      <c r="K1043" s="6">
        <v>12622.73</v>
      </c>
      <c r="L1043" s="6">
        <v>6.25</v>
      </c>
      <c r="M1043" s="6">
        <f t="shared" si="1"/>
        <v>2.674307203</v>
      </c>
      <c r="N1043" s="6">
        <v>6.25</v>
      </c>
      <c r="O1043" s="7" t="s">
        <v>45</v>
      </c>
      <c r="P1043" s="7" t="s">
        <v>46</v>
      </c>
      <c r="Q1043" s="7" t="s">
        <v>25</v>
      </c>
      <c r="R1043" s="10">
        <v>11673.68</v>
      </c>
      <c r="S1043" s="10">
        <v>949.05</v>
      </c>
      <c r="T1043" s="9" t="s">
        <v>33</v>
      </c>
      <c r="U1043" s="9"/>
      <c r="V1043" s="9"/>
      <c r="W1043" s="9"/>
      <c r="X1043" s="9"/>
      <c r="Y1043" s="9"/>
      <c r="Z1043" s="9"/>
      <c r="AA1043" s="9"/>
      <c r="AB1043" s="9"/>
    </row>
    <row r="1044">
      <c r="A1044" s="5">
        <v>42680.0</v>
      </c>
      <c r="B1044" s="6">
        <v>2016.0</v>
      </c>
      <c r="C1044" s="7" t="s">
        <v>80</v>
      </c>
      <c r="D1044" s="7" t="s">
        <v>42</v>
      </c>
      <c r="E1044" s="7" t="s">
        <v>41</v>
      </c>
      <c r="F1044" s="6">
        <v>2537.0</v>
      </c>
      <c r="G1044" s="6">
        <v>108459.0</v>
      </c>
      <c r="H1044" s="6">
        <v>42.75</v>
      </c>
      <c r="I1044" s="8">
        <v>40.303575088687424</v>
      </c>
      <c r="J1044" s="6">
        <v>102250.17</v>
      </c>
      <c r="K1044" s="6">
        <v>6208.83</v>
      </c>
      <c r="L1044" s="6">
        <v>5.72</v>
      </c>
      <c r="M1044" s="6">
        <f t="shared" si="1"/>
        <v>2.447311786</v>
      </c>
      <c r="N1044" s="6">
        <v>5.72</v>
      </c>
      <c r="O1044" s="7" t="s">
        <v>45</v>
      </c>
      <c r="P1044" s="7" t="s">
        <v>46</v>
      </c>
      <c r="Q1044" s="7" t="s">
        <v>25</v>
      </c>
      <c r="R1044" s="10">
        <v>12622.73</v>
      </c>
      <c r="S1044" s="10">
        <v>-6413.9</v>
      </c>
      <c r="T1044" s="9" t="s">
        <v>29</v>
      </c>
      <c r="U1044" s="9"/>
      <c r="V1044" s="9"/>
      <c r="W1044" s="9"/>
      <c r="X1044" s="9"/>
      <c r="Y1044" s="9"/>
      <c r="Z1044" s="9"/>
      <c r="AA1044" s="9"/>
      <c r="AB1044" s="9"/>
    </row>
    <row r="1045">
      <c r="A1045" s="5">
        <v>42681.0</v>
      </c>
      <c r="B1045" s="6">
        <v>2016.0</v>
      </c>
      <c r="C1045" s="7" t="s">
        <v>80</v>
      </c>
      <c r="D1045" s="7" t="s">
        <v>43</v>
      </c>
      <c r="E1045" s="7" t="s">
        <v>22</v>
      </c>
      <c r="F1045" s="6">
        <v>2621.0</v>
      </c>
      <c r="G1045" s="6">
        <v>112536.38</v>
      </c>
      <c r="H1045" s="6">
        <v>42.94</v>
      </c>
      <c r="I1045" s="8">
        <v>40.4343685616177</v>
      </c>
      <c r="J1045" s="6">
        <v>105978.48</v>
      </c>
      <c r="K1045" s="6">
        <v>6557.89</v>
      </c>
      <c r="L1045" s="6">
        <v>5.83</v>
      </c>
      <c r="M1045" s="6">
        <f t="shared" si="1"/>
        <v>2.502056467</v>
      </c>
      <c r="N1045" s="6">
        <v>5.83</v>
      </c>
      <c r="O1045" s="7" t="s">
        <v>45</v>
      </c>
      <c r="P1045" s="7" t="s">
        <v>46</v>
      </c>
      <c r="Q1045" s="7" t="s">
        <v>25</v>
      </c>
      <c r="R1045" s="10">
        <v>6208.83</v>
      </c>
      <c r="S1045" s="10">
        <v>349.06</v>
      </c>
      <c r="T1045" s="9" t="s">
        <v>33</v>
      </c>
      <c r="U1045" s="9"/>
      <c r="V1045" s="9"/>
      <c r="W1045" s="9"/>
      <c r="X1045" s="9"/>
      <c r="Y1045" s="9"/>
      <c r="Z1045" s="9"/>
      <c r="AA1045" s="9"/>
      <c r="AB1045" s="9"/>
    </row>
    <row r="1046">
      <c r="A1046" s="5">
        <v>42682.0</v>
      </c>
      <c r="B1046" s="6">
        <v>2016.0</v>
      </c>
      <c r="C1046" s="7" t="s">
        <v>80</v>
      </c>
      <c r="D1046" s="7" t="s">
        <v>44</v>
      </c>
      <c r="E1046" s="7" t="s">
        <v>28</v>
      </c>
      <c r="F1046" s="6">
        <v>2341.0</v>
      </c>
      <c r="G1046" s="6">
        <v>100479.93</v>
      </c>
      <c r="H1046" s="6">
        <v>42.92</v>
      </c>
      <c r="I1046" s="8">
        <v>40.44958564715933</v>
      </c>
      <c r="J1046" s="6">
        <v>94692.48</v>
      </c>
      <c r="K1046" s="6">
        <v>5787.45</v>
      </c>
      <c r="L1046" s="6">
        <v>5.76</v>
      </c>
      <c r="M1046" s="6">
        <f t="shared" si="1"/>
        <v>2.47221273</v>
      </c>
      <c r="N1046" s="6">
        <v>5.76</v>
      </c>
      <c r="O1046" s="7" t="s">
        <v>45</v>
      </c>
      <c r="P1046" s="7" t="s">
        <v>46</v>
      </c>
      <c r="Q1046" s="7" t="s">
        <v>25</v>
      </c>
      <c r="R1046" s="10">
        <v>6557.89</v>
      </c>
      <c r="S1046" s="10">
        <v>-770.44</v>
      </c>
      <c r="T1046" s="9" t="s">
        <v>29</v>
      </c>
      <c r="U1046" s="9"/>
      <c r="V1046" s="9"/>
      <c r="W1046" s="9"/>
      <c r="X1046" s="9"/>
      <c r="Y1046" s="9"/>
      <c r="Z1046" s="9"/>
      <c r="AA1046" s="9"/>
      <c r="AB1046" s="9"/>
    </row>
    <row r="1047">
      <c r="A1047" s="5">
        <v>42683.0</v>
      </c>
      <c r="B1047" s="6">
        <v>2016.0</v>
      </c>
      <c r="C1047" s="7" t="s">
        <v>80</v>
      </c>
      <c r="D1047" s="7" t="s">
        <v>47</v>
      </c>
      <c r="E1047" s="7" t="s">
        <v>32</v>
      </c>
      <c r="F1047" s="6">
        <v>1901.0</v>
      </c>
      <c r="G1047" s="6">
        <v>81649.69</v>
      </c>
      <c r="H1047" s="6">
        <v>42.95</v>
      </c>
      <c r="I1047" s="8">
        <v>40.54795370857444</v>
      </c>
      <c r="J1047" s="6">
        <v>77081.66</v>
      </c>
      <c r="K1047" s="6">
        <v>4568.03</v>
      </c>
      <c r="L1047" s="6">
        <v>5.59</v>
      </c>
      <c r="M1047" s="6">
        <f t="shared" si="1"/>
        <v>2.402961599</v>
      </c>
      <c r="N1047" s="6">
        <v>5.59</v>
      </c>
      <c r="O1047" s="7" t="s">
        <v>45</v>
      </c>
      <c r="P1047" s="7" t="s">
        <v>46</v>
      </c>
      <c r="Q1047" s="7" t="s">
        <v>25</v>
      </c>
      <c r="R1047" s="10">
        <v>5787.45</v>
      </c>
      <c r="S1047" s="10">
        <v>-1219.42</v>
      </c>
      <c r="T1047" s="9" t="s">
        <v>29</v>
      </c>
      <c r="U1047" s="9"/>
      <c r="V1047" s="9"/>
      <c r="W1047" s="9"/>
      <c r="X1047" s="9"/>
      <c r="Y1047" s="9"/>
      <c r="Z1047" s="9"/>
      <c r="AA1047" s="9"/>
      <c r="AB1047" s="9"/>
    </row>
    <row r="1048">
      <c r="A1048" s="5">
        <v>42684.0</v>
      </c>
      <c r="B1048" s="6">
        <v>2016.0</v>
      </c>
      <c r="C1048" s="7" t="s">
        <v>80</v>
      </c>
      <c r="D1048" s="7" t="s">
        <v>48</v>
      </c>
      <c r="E1048" s="7" t="s">
        <v>35</v>
      </c>
      <c r="F1048" s="6">
        <v>1666.0</v>
      </c>
      <c r="G1048" s="6">
        <v>71529.16</v>
      </c>
      <c r="H1048" s="6">
        <v>42.93</v>
      </c>
      <c r="I1048" s="8">
        <v>40.546968787515006</v>
      </c>
      <c r="J1048" s="6">
        <v>67551.25</v>
      </c>
      <c r="K1048" s="6">
        <v>3977.91</v>
      </c>
      <c r="L1048" s="6">
        <v>5.56</v>
      </c>
      <c r="M1048" s="6">
        <f t="shared" si="1"/>
        <v>2.38770108</v>
      </c>
      <c r="N1048" s="6">
        <v>5.56</v>
      </c>
      <c r="O1048" s="7" t="s">
        <v>45</v>
      </c>
      <c r="P1048" s="7" t="s">
        <v>46</v>
      </c>
      <c r="Q1048" s="7" t="s">
        <v>25</v>
      </c>
      <c r="R1048" s="10">
        <v>4568.03</v>
      </c>
      <c r="S1048" s="10">
        <v>-590.12</v>
      </c>
      <c r="T1048" s="9" t="s">
        <v>29</v>
      </c>
      <c r="U1048" s="9"/>
      <c r="V1048" s="9"/>
      <c r="W1048" s="9"/>
      <c r="X1048" s="9"/>
      <c r="Y1048" s="9"/>
      <c r="Z1048" s="9"/>
      <c r="AA1048" s="9"/>
      <c r="AB1048" s="9"/>
    </row>
    <row r="1049">
      <c r="A1049" s="5">
        <v>42685.0</v>
      </c>
      <c r="B1049" s="6">
        <v>2016.0</v>
      </c>
      <c r="C1049" s="7" t="s">
        <v>80</v>
      </c>
      <c r="D1049" s="7" t="s">
        <v>49</v>
      </c>
      <c r="E1049" s="7" t="s">
        <v>37</v>
      </c>
      <c r="F1049" s="6">
        <v>3748.0</v>
      </c>
      <c r="G1049" s="6">
        <v>160938.6</v>
      </c>
      <c r="H1049" s="6">
        <v>42.94</v>
      </c>
      <c r="I1049" s="8">
        <v>40.70315368196372</v>
      </c>
      <c r="J1049" s="6">
        <v>152555.42</v>
      </c>
      <c r="K1049" s="6">
        <v>8383.18</v>
      </c>
      <c r="L1049" s="6">
        <v>5.21</v>
      </c>
      <c r="M1049" s="6">
        <f t="shared" si="1"/>
        <v>2.236707577</v>
      </c>
      <c r="N1049" s="6">
        <v>5.21</v>
      </c>
      <c r="O1049" s="7" t="s">
        <v>45</v>
      </c>
      <c r="P1049" s="7" t="s">
        <v>46</v>
      </c>
      <c r="Q1049" s="7" t="s">
        <v>25</v>
      </c>
      <c r="R1049" s="10">
        <v>3977.91</v>
      </c>
      <c r="S1049" s="10">
        <v>4405.27</v>
      </c>
      <c r="T1049" s="9" t="s">
        <v>33</v>
      </c>
      <c r="U1049" s="9"/>
      <c r="V1049" s="9"/>
      <c r="W1049" s="9"/>
      <c r="X1049" s="9"/>
      <c r="Y1049" s="9"/>
      <c r="Z1049" s="9"/>
      <c r="AA1049" s="9"/>
      <c r="AB1049" s="9"/>
    </row>
    <row r="1050">
      <c r="A1050" s="5">
        <v>42686.0</v>
      </c>
      <c r="B1050" s="6">
        <v>2016.0</v>
      </c>
      <c r="C1050" s="7" t="s">
        <v>80</v>
      </c>
      <c r="D1050" s="7" t="s">
        <v>50</v>
      </c>
      <c r="E1050" s="7" t="s">
        <v>39</v>
      </c>
      <c r="F1050" s="6">
        <v>3843.0</v>
      </c>
      <c r="G1050" s="6">
        <v>164998.84</v>
      </c>
      <c r="H1050" s="6">
        <v>42.93</v>
      </c>
      <c r="I1050" s="8">
        <v>40.66176164454853</v>
      </c>
      <c r="J1050" s="6">
        <v>156263.15</v>
      </c>
      <c r="K1050" s="6">
        <v>8735.7</v>
      </c>
      <c r="L1050" s="6">
        <v>5.29</v>
      </c>
      <c r="M1050" s="6">
        <f t="shared" si="1"/>
        <v>2.27314598</v>
      </c>
      <c r="N1050" s="6">
        <v>5.29</v>
      </c>
      <c r="O1050" s="7" t="s">
        <v>45</v>
      </c>
      <c r="P1050" s="7" t="s">
        <v>46</v>
      </c>
      <c r="Q1050" s="7" t="s">
        <v>25</v>
      </c>
      <c r="R1050" s="10">
        <v>8383.18</v>
      </c>
      <c r="S1050" s="10">
        <v>352.51</v>
      </c>
      <c r="T1050" s="9" t="s">
        <v>33</v>
      </c>
      <c r="U1050" s="9"/>
      <c r="V1050" s="9"/>
      <c r="W1050" s="9"/>
      <c r="X1050" s="9"/>
      <c r="Y1050" s="9"/>
      <c r="Z1050" s="9"/>
      <c r="AA1050" s="9"/>
      <c r="AB1050" s="9"/>
    </row>
    <row r="1051">
      <c r="A1051" s="5">
        <v>42687.0</v>
      </c>
      <c r="B1051" s="6">
        <v>2016.0</v>
      </c>
      <c r="C1051" s="7" t="s">
        <v>80</v>
      </c>
      <c r="D1051" s="7" t="s">
        <v>51</v>
      </c>
      <c r="E1051" s="7" t="s">
        <v>41</v>
      </c>
      <c r="F1051" s="6">
        <v>2281.0</v>
      </c>
      <c r="G1051" s="6">
        <v>97946.78</v>
      </c>
      <c r="H1051" s="6">
        <v>42.94</v>
      </c>
      <c r="I1051" s="8">
        <v>40.82096010521701</v>
      </c>
      <c r="J1051" s="6">
        <v>93112.61</v>
      </c>
      <c r="K1051" s="6">
        <v>4834.17</v>
      </c>
      <c r="L1051" s="6">
        <v>4.94</v>
      </c>
      <c r="M1051" s="6">
        <f t="shared" si="1"/>
        <v>2.119320473</v>
      </c>
      <c r="N1051" s="6">
        <v>4.94</v>
      </c>
      <c r="O1051" s="7" t="s">
        <v>45</v>
      </c>
      <c r="P1051" s="7" t="s">
        <v>46</v>
      </c>
      <c r="Q1051" s="7" t="s">
        <v>25</v>
      </c>
      <c r="R1051" s="10">
        <v>8735.7</v>
      </c>
      <c r="S1051" s="10">
        <v>-3901.52</v>
      </c>
      <c r="T1051" s="9" t="s">
        <v>29</v>
      </c>
      <c r="U1051" s="9"/>
      <c r="V1051" s="9"/>
      <c r="W1051" s="9"/>
      <c r="X1051" s="9"/>
      <c r="Y1051" s="9"/>
      <c r="Z1051" s="9"/>
      <c r="AA1051" s="9"/>
      <c r="AB1051" s="9"/>
    </row>
    <row r="1052">
      <c r="A1052" s="5">
        <v>42688.0</v>
      </c>
      <c r="B1052" s="6">
        <v>2016.0</v>
      </c>
      <c r="C1052" s="7" t="s">
        <v>80</v>
      </c>
      <c r="D1052" s="7" t="s">
        <v>52</v>
      </c>
      <c r="E1052" s="7" t="s">
        <v>22</v>
      </c>
      <c r="F1052" s="6">
        <v>2046.0</v>
      </c>
      <c r="G1052" s="6">
        <v>87834.25</v>
      </c>
      <c r="H1052" s="6">
        <v>42.93</v>
      </c>
      <c r="I1052" s="8">
        <v>40.600327468230695</v>
      </c>
      <c r="J1052" s="6">
        <v>83068.27</v>
      </c>
      <c r="K1052" s="6">
        <v>4765.98</v>
      </c>
      <c r="L1052" s="6">
        <v>5.43</v>
      </c>
      <c r="M1052" s="6">
        <f t="shared" si="1"/>
        <v>2.32941349</v>
      </c>
      <c r="N1052" s="6">
        <v>5.43</v>
      </c>
      <c r="O1052" s="7" t="s">
        <v>45</v>
      </c>
      <c r="P1052" s="7" t="s">
        <v>46</v>
      </c>
      <c r="Q1052" s="7" t="s">
        <v>25</v>
      </c>
      <c r="R1052" s="10">
        <v>4834.17</v>
      </c>
      <c r="S1052" s="10">
        <v>-68.19</v>
      </c>
      <c r="T1052" s="9" t="s">
        <v>29</v>
      </c>
      <c r="U1052" s="9"/>
      <c r="V1052" s="9"/>
      <c r="W1052" s="9"/>
      <c r="X1052" s="9"/>
      <c r="Y1052" s="9"/>
      <c r="Z1052" s="9"/>
      <c r="AA1052" s="9"/>
      <c r="AB1052" s="9"/>
    </row>
    <row r="1053">
      <c r="A1053" s="5">
        <v>42689.0</v>
      </c>
      <c r="B1053" s="6">
        <v>2016.0</v>
      </c>
      <c r="C1053" s="7" t="s">
        <v>80</v>
      </c>
      <c r="D1053" s="7" t="s">
        <v>53</v>
      </c>
      <c r="E1053" s="7" t="s">
        <v>28</v>
      </c>
      <c r="F1053" s="6">
        <v>2181.0</v>
      </c>
      <c r="G1053" s="6">
        <v>95509.13</v>
      </c>
      <c r="H1053" s="6">
        <v>43.79</v>
      </c>
      <c r="I1053" s="8">
        <v>40.39624025676295</v>
      </c>
      <c r="J1053" s="6">
        <v>88104.2</v>
      </c>
      <c r="K1053" s="6">
        <v>7404.93</v>
      </c>
      <c r="L1053" s="6">
        <v>7.75</v>
      </c>
      <c r="M1053" s="6">
        <f t="shared" si="1"/>
        <v>3.39519945</v>
      </c>
      <c r="N1053" s="6">
        <v>7.75</v>
      </c>
      <c r="O1053" s="7" t="s">
        <v>45</v>
      </c>
      <c r="P1053" s="7" t="s">
        <v>46</v>
      </c>
      <c r="Q1053" s="7" t="s">
        <v>25</v>
      </c>
      <c r="R1053" s="10">
        <v>4765.98</v>
      </c>
      <c r="S1053" s="10">
        <v>2638.95</v>
      </c>
      <c r="T1053" s="9" t="s">
        <v>33</v>
      </c>
      <c r="U1053" s="9"/>
      <c r="V1053" s="9"/>
      <c r="W1053" s="9"/>
      <c r="X1053" s="9"/>
      <c r="Y1053" s="9"/>
      <c r="Z1053" s="9"/>
      <c r="AA1053" s="9"/>
      <c r="AB1053" s="9"/>
    </row>
    <row r="1054">
      <c r="A1054" s="5">
        <v>42690.0</v>
      </c>
      <c r="B1054" s="6">
        <v>2016.0</v>
      </c>
      <c r="C1054" s="7" t="s">
        <v>80</v>
      </c>
      <c r="D1054" s="7" t="s">
        <v>54</v>
      </c>
      <c r="E1054" s="7" t="s">
        <v>32</v>
      </c>
      <c r="F1054" s="6">
        <v>1763.0</v>
      </c>
      <c r="G1054" s="6">
        <v>77229.97</v>
      </c>
      <c r="H1054" s="6">
        <v>43.81</v>
      </c>
      <c r="I1054" s="8">
        <v>40.51552467385139</v>
      </c>
      <c r="J1054" s="6">
        <v>71428.87</v>
      </c>
      <c r="K1054" s="6">
        <v>5801.1</v>
      </c>
      <c r="L1054" s="6">
        <v>7.51</v>
      </c>
      <c r="M1054" s="6">
        <f t="shared" si="1"/>
        <v>3.290470788</v>
      </c>
      <c r="N1054" s="6">
        <v>7.51</v>
      </c>
      <c r="O1054" s="7" t="s">
        <v>45</v>
      </c>
      <c r="P1054" s="7" t="s">
        <v>46</v>
      </c>
      <c r="Q1054" s="7" t="s">
        <v>25</v>
      </c>
      <c r="R1054" s="10">
        <v>7404.93</v>
      </c>
      <c r="S1054" s="10">
        <v>-1603.83</v>
      </c>
      <c r="T1054" s="9" t="s">
        <v>29</v>
      </c>
      <c r="U1054" s="9"/>
      <c r="V1054" s="9"/>
      <c r="W1054" s="9"/>
      <c r="X1054" s="9"/>
      <c r="Y1054" s="9"/>
      <c r="Z1054" s="9"/>
      <c r="AA1054" s="9"/>
      <c r="AB1054" s="9"/>
    </row>
  </sheetData>
  <customSheetViews>
    <customSheetView guid="{E050BEEC-2F75-414E-8F8D-68591F631E55}" filter="1" showAutoFilter="1">
      <autoFilter ref="$A$1:$AB$1054"/>
    </customSheetView>
  </customSheetView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75"/>
  <cols>
    <col customWidth="1" min="1" max="1" width="17.56"/>
    <col customWidth="1" min="2" max="2" width="21.78"/>
  </cols>
  <sheetData>
    <row r="2"/>
    <row r="3"/>
    <row r="4"/>
    <row r="5"/>
    <row r="6"/>
    <row r="7"/>
    <row r="8"/>
    <row r="9"/>
    <row r="10"/>
    <row r="11"/>
    <row r="12"/>
    <row r="13"/>
    <row r="14"/>
    <row r="15"/>
    <row r="16"/>
    <row r="17"/>
    <row r="18"/>
    <row r="19"/>
    <row r="20"/>
    <row r="21"/>
    <row r="22"/>
    <row r="23"/>
    <row r="24"/>
    <row r="25"/>
    <row r="26"/>
    <row r="27"/>
    <row r="28"/>
    <row r="29"/>
    <row r="30"/>
    <row r="31"/>
    <row r="32"/>
    <row r="33"/>
    <row r="34"/>
    <row r="37"/>
    <row r="38"/>
    <row r="39"/>
    <row r="40"/>
    <row r="41"/>
    <row r="42"/>
    <row r="43"/>
    <row r="46"/>
    <row r="47"/>
    <row r="48"/>
    <row r="49"/>
    <row r="50"/>
    <row r="51"/>
    <row r="52"/>
    <row r="53"/>
    <row r="54"/>
    <row r="55"/>
    <row r="56"/>
    <row r="57"/>
    <row r="58"/>
    <row r="59"/>
    <row r="60"/>
    <row r="61"/>
    <row r="62"/>
    <row r="63"/>
    <row r="64"/>
    <row r="65"/>
    <row r="66"/>
    <row r="67"/>
    <row r="68"/>
    <row r="69"/>
    <row r="70"/>
    <row r="71"/>
    <row r="72"/>
    <row r="73"/>
    <row r="74"/>
    <row r="75"/>
    <row r="76"/>
    <row r="77"/>
    <row r="78"/>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sheetData>
  <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75"/>
  <cols>
    <col customWidth="1" min="1" max="1" width="17.78"/>
    <col customWidth="1" min="2" max="2" width="26.11"/>
    <col customWidth="1" min="3" max="3" width="19.67"/>
    <col customWidth="1" min="4" max="4" width="14.33"/>
  </cols>
  <sheetData>
    <row r="3"/>
    <row r="4"/>
    <row r="5"/>
    <row r="6"/>
    <row r="7"/>
    <row r="8"/>
    <row r="9"/>
    <row r="18"/>
    <row r="19"/>
    <row r="20"/>
    <row r="21"/>
    <row r="22"/>
    <row r="23"/>
    <row r="35"/>
    <row r="36"/>
    <row r="37"/>
    <row r="38"/>
    <row r="39"/>
    <row r="40"/>
    <row r="41"/>
    <row r="49"/>
    <row r="50"/>
    <row r="51"/>
    <row r="52"/>
    <row r="53"/>
    <row r="54"/>
    <row r="64"/>
    <row r="65"/>
    <row r="66"/>
    <row r="67"/>
    <row r="68"/>
    <row r="69"/>
  </sheetData>
  <drawing r:id="rId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75"/>
  <cols>
    <col customWidth="1" min="2" max="2" width="17.56"/>
  </cols>
  <sheetData>
    <row r="1"/>
    <row r="2"/>
    <row r="3"/>
    <row r="4"/>
    <row r="5"/>
    <row r="6"/>
    <row r="15">
      <c r="H15" s="13"/>
    </row>
  </sheetData>
  <drawing r:id="rId2"/>
</worksheet>
</file>